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12b4b446deb814/Documents/"/>
    </mc:Choice>
  </mc:AlternateContent>
  <xr:revisionPtr revIDLastSave="196" documentId="8_{CB0858CC-C425-4E93-9BEA-6F2F9B2DC3F0}" xr6:coauthVersionLast="47" xr6:coauthVersionMax="47" xr10:uidLastSave="{C7BA42EA-BC5B-4AF4-B0D2-104377985BC0}"/>
  <bookViews>
    <workbookView xWindow="-108" yWindow="-108" windowWidth="23256" windowHeight="12456" activeTab="2" xr2:uid="{D599643C-FE51-4D19-96E5-D037B9C63740}"/>
  </bookViews>
  <sheets>
    <sheet name="Detail1" sheetId="7" r:id="rId1"/>
    <sheet name="Sheet2" sheetId="6" r:id="rId2"/>
    <sheet name="Sheet5" sheetId="8" r:id="rId3"/>
    <sheet name="gST" sheetId="2" r:id="rId4"/>
    <sheet name="Sheet1" sheetId="5" r:id="rId5"/>
    <sheet name="Sheet3" sheetId="3" r:id="rId6"/>
    <sheet name="Sheet4" sheetId="4" r:id="rId7"/>
  </sheets>
  <calcPr calcId="191029"/>
  <pivotCaches>
    <pivotCache cacheId="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1" i="4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2" i="4"/>
  <c r="E3" i="4"/>
  <c r="E4" i="4"/>
  <c r="E5" i="4"/>
  <c r="E1" i="4"/>
  <c r="J6" i="3"/>
  <c r="J8" i="3"/>
  <c r="J9" i="3"/>
  <c r="J11" i="3"/>
  <c r="J7" i="3"/>
  <c r="J10" i="3"/>
  <c r="J12" i="3"/>
  <c r="J13" i="3"/>
  <c r="J14" i="3"/>
  <c r="J5" i="3"/>
  <c r="G96" i="3"/>
</calcChain>
</file>

<file path=xl/sharedStrings.xml><?xml version="1.0" encoding="utf-8"?>
<sst xmlns="http://schemas.openxmlformats.org/spreadsheetml/2006/main" count="1434" uniqueCount="231">
  <si>
    <t>GSTIN of supplier</t>
  </si>
  <si>
    <t>Trade/Legal name</t>
  </si>
  <si>
    <t>Invoice number</t>
  </si>
  <si>
    <t>Invoice Date</t>
  </si>
  <si>
    <t>Invoice Value(₹)</t>
  </si>
  <si>
    <t>05AAUFB7794A1Z6</t>
  </si>
  <si>
    <t>BORA ENTERPRISES</t>
  </si>
  <si>
    <t>BE/2025-26/1742</t>
  </si>
  <si>
    <t>05/12/2025</t>
  </si>
  <si>
    <t>BE/2025-26/1746</t>
  </si>
  <si>
    <t>07/12/2025</t>
  </si>
  <si>
    <t>BE/2025-26/1825</t>
  </si>
  <si>
    <t>17/12/2025</t>
  </si>
  <si>
    <t>BE/2025-26/1858</t>
  </si>
  <si>
    <t>23/12/2025</t>
  </si>
  <si>
    <t>BE/2025-26/1887</t>
  </si>
  <si>
    <t>26/12/2025</t>
  </si>
  <si>
    <t>BE/2025-26/1939</t>
  </si>
  <si>
    <t>30/12/2025</t>
  </si>
  <si>
    <t>05ADVPC1437H1ZN</t>
  </si>
  <si>
    <t>M/S SAMTA AGENCIES</t>
  </si>
  <si>
    <t>2037</t>
  </si>
  <si>
    <t>10/10/2025</t>
  </si>
  <si>
    <t>2071</t>
  </si>
  <si>
    <t>13/10/2025</t>
  </si>
  <si>
    <t>2318</t>
  </si>
  <si>
    <t>10/11/2025</t>
  </si>
  <si>
    <t>05ATMPB0224C1ZJ</t>
  </si>
  <si>
    <t>A P HOME APPLIANCES</t>
  </si>
  <si>
    <t>25-26/1401</t>
  </si>
  <si>
    <t>15/12/2025</t>
  </si>
  <si>
    <t>05AEYPC9361G1Z5</t>
  </si>
  <si>
    <t>M/S JAI AMBAY ELECTRICALS</t>
  </si>
  <si>
    <t>JAE/2025-26/5574</t>
  </si>
  <si>
    <t>27/12/2025</t>
  </si>
  <si>
    <t>05ADQPP9467K1ZM</t>
  </si>
  <si>
    <t>M/S ROHAN MADAN ELECTRIC COMPANY</t>
  </si>
  <si>
    <t>1006730</t>
  </si>
  <si>
    <t>03/12/2025</t>
  </si>
  <si>
    <t>1006771</t>
  </si>
  <si>
    <t>04/12/2025</t>
  </si>
  <si>
    <t>1006820</t>
  </si>
  <si>
    <t>1006854</t>
  </si>
  <si>
    <t>1006858</t>
  </si>
  <si>
    <t>08/12/2025</t>
  </si>
  <si>
    <t>1006883</t>
  </si>
  <si>
    <t>09/12/2025</t>
  </si>
  <si>
    <t>1006994</t>
  </si>
  <si>
    <t>12/12/2025</t>
  </si>
  <si>
    <t>1007017</t>
  </si>
  <si>
    <t>14/12/2025</t>
  </si>
  <si>
    <t>1007021</t>
  </si>
  <si>
    <t>1007143</t>
  </si>
  <si>
    <t>18/12/2025</t>
  </si>
  <si>
    <t>1007162</t>
  </si>
  <si>
    <t>1007188</t>
  </si>
  <si>
    <t>19/12/2025</t>
  </si>
  <si>
    <t>1007237</t>
  </si>
  <si>
    <t>21/12/2025</t>
  </si>
  <si>
    <t>1007300</t>
  </si>
  <si>
    <t>1007319</t>
  </si>
  <si>
    <t>1007363</t>
  </si>
  <si>
    <t>25/12/2025</t>
  </si>
  <si>
    <t>1007445</t>
  </si>
  <si>
    <t>28/12/2025</t>
  </si>
  <si>
    <t>1007477</t>
  </si>
  <si>
    <t>29/12/2025</t>
  </si>
  <si>
    <t>1007489</t>
  </si>
  <si>
    <t>1007542</t>
  </si>
  <si>
    <t>1007552</t>
  </si>
  <si>
    <t>A000001</t>
  </si>
  <si>
    <t>05AEYPC9362F1Z6</t>
  </si>
  <si>
    <t>M/S SHRI RAM ELECTRICALS</t>
  </si>
  <si>
    <t>SRE/2025-26/5556</t>
  </si>
  <si>
    <t>05AACCN3798F1ZC</t>
  </si>
  <si>
    <t>PLAZA WIRES LIMITED</t>
  </si>
  <si>
    <t>DDN/00444/25-26</t>
  </si>
  <si>
    <t>06/12/2025</t>
  </si>
  <si>
    <t>05AAACP6474E1ZJ</t>
  </si>
  <si>
    <t>POLYCAB INDIA LIMITED</t>
  </si>
  <si>
    <t>UT600S2526103313</t>
  </si>
  <si>
    <t>05FIZPS8905N1ZZ</t>
  </si>
  <si>
    <t>M/S GURUKRIPA TRADERS</t>
  </si>
  <si>
    <t>FY25-26/58</t>
  </si>
  <si>
    <t>05AGTPA4297N1ZS</t>
  </si>
  <si>
    <t>M/S SWASTIK ELECTRICALS</t>
  </si>
  <si>
    <t>25-26/2624</t>
  </si>
  <si>
    <t>25-26/2655</t>
  </si>
  <si>
    <t>25-26/2867</t>
  </si>
  <si>
    <t>31/12/2025</t>
  </si>
  <si>
    <t>05AAFCM9845D1ZE</t>
  </si>
  <si>
    <t>Max Aerotron Private Limited</t>
  </si>
  <si>
    <t>252622300</t>
  </si>
  <si>
    <t>252622358</t>
  </si>
  <si>
    <t>252622392</t>
  </si>
  <si>
    <t>16/12/2025</t>
  </si>
  <si>
    <t>05ACAPC8976B1ZW</t>
  </si>
  <si>
    <t>CHAWLA ELECTRICALS</t>
  </si>
  <si>
    <t>CE/1722/25-26</t>
  </si>
  <si>
    <t>11/12/2025</t>
  </si>
  <si>
    <t>05AAHCS4188F1Z8</t>
  </si>
  <si>
    <t>M/S SANGAM APPLIANCES AND ELECTRICALS PVT. LTD.</t>
  </si>
  <si>
    <t>2006</t>
  </si>
  <si>
    <t>05AJWPP7746H1ZG</t>
  </si>
  <si>
    <t xml:space="preserve">M/S NANDA SALES CORPORATION </t>
  </si>
  <si>
    <t>NSC/4279</t>
  </si>
  <si>
    <t>05AALCA1343E1Z5</t>
  </si>
  <si>
    <t>ASIAPACIFIC CORPORATE SOLUTIONS PRIVATE LIMITED</t>
  </si>
  <si>
    <t>APS/25-26/281</t>
  </si>
  <si>
    <t>05ICIPS1062J1ZC</t>
  </si>
  <si>
    <t>JAI GOLJYU &amp; R.K. AGENCIES</t>
  </si>
  <si>
    <t>JG/25-26/2318</t>
  </si>
  <si>
    <t>05ABBFM3471H1ZG</t>
  </si>
  <si>
    <t>M/S M R ENTERPRISES</t>
  </si>
  <si>
    <t>A004036</t>
  </si>
  <si>
    <t>A004276</t>
  </si>
  <si>
    <t>05ACBPD3633K1ZZ</t>
  </si>
  <si>
    <t>M/S NARAYANI APPLIANCES</t>
  </si>
  <si>
    <t>25-26/792</t>
  </si>
  <si>
    <t>01/12/2025</t>
  </si>
  <si>
    <t>25-26/869</t>
  </si>
  <si>
    <t>24/12/2025</t>
  </si>
  <si>
    <t>25-26/887</t>
  </si>
  <si>
    <t>05ABAPA2880P1ZO</t>
  </si>
  <si>
    <t>M/S Adarsh Tube Corporation</t>
  </si>
  <si>
    <t>2025-26/5891</t>
  </si>
  <si>
    <t>05LCDPS0119Q1Z4</t>
  </si>
  <si>
    <t>PARMEET TRADERS</t>
  </si>
  <si>
    <t>25-26/P1732</t>
  </si>
  <si>
    <t>02/12/2025</t>
  </si>
  <si>
    <t>05ABVPL3435A1ZU</t>
  </si>
  <si>
    <t>M/S SHRI KRISHNA PIPE STORE</t>
  </si>
  <si>
    <t>DEC/10215</t>
  </si>
  <si>
    <t>DEC/9899</t>
  </si>
  <si>
    <t>05DWPPS6957E1ZU</t>
  </si>
  <si>
    <t>M/s MAHALAXMI ENTERPRISES</t>
  </si>
  <si>
    <t>2025-26/224</t>
  </si>
  <si>
    <t>05AZXPS1766P1Z7</t>
  </si>
  <si>
    <t>M/S MODEL AUTO MOBILES</t>
  </si>
  <si>
    <t>25-26/M2219</t>
  </si>
  <si>
    <t>05AZJPA6861D1ZM</t>
  </si>
  <si>
    <t>Eltek Industries</t>
  </si>
  <si>
    <t>EI/25-26/1213</t>
  </si>
  <si>
    <t>05AAECA2190C1Z9</t>
  </si>
  <si>
    <t>PANASONIC LIFE SOLUTIONS INDIA PRIVATE LIMITED</t>
  </si>
  <si>
    <t>4080125008138</t>
  </si>
  <si>
    <t>4080125008324</t>
  </si>
  <si>
    <t>10/12/2025</t>
  </si>
  <si>
    <t>4080125008484</t>
  </si>
  <si>
    <t>4080125008677</t>
  </si>
  <si>
    <t>4080125008843</t>
  </si>
  <si>
    <t>05AHIPA2536N1ZF</t>
  </si>
  <si>
    <t>M/S HIMALIYA ENTERPRISES</t>
  </si>
  <si>
    <t>1071</t>
  </si>
  <si>
    <t>05ARIPK4863C1ZX</t>
  </si>
  <si>
    <t>SKYLIGHT DISTRIBUTORS</t>
  </si>
  <si>
    <t>2025-26/0605</t>
  </si>
  <si>
    <t>2025-26/0615</t>
  </si>
  <si>
    <t>2025-26/0632</t>
  </si>
  <si>
    <t>2025-26/0651</t>
  </si>
  <si>
    <t>2025-26/0666</t>
  </si>
  <si>
    <t>22/12/2025</t>
  </si>
  <si>
    <t>2025-26/0670</t>
  </si>
  <si>
    <t>2025-26/0683</t>
  </si>
  <si>
    <t>05ALAPN7783Q1ZC</t>
  </si>
  <si>
    <t>ZOOM MOBILE &amp; GIFT GALLERY</t>
  </si>
  <si>
    <t>B000644</t>
  </si>
  <si>
    <t>05AAGCM4426M1ZB</t>
  </si>
  <si>
    <t>MIDAS ELECTRONICS PRIVATE LIMITED</t>
  </si>
  <si>
    <t>SD/25-26/0673</t>
  </si>
  <si>
    <t>05AAHPY6434F1ZI</t>
  </si>
  <si>
    <t>M/S KICHHA MARBLE HOUSE</t>
  </si>
  <si>
    <t>KMH/25-26/6478</t>
  </si>
  <si>
    <t>05AYJPS3430R2ZT</t>
  </si>
  <si>
    <t>M/S SIDDIQUI ELECTRICAL</t>
  </si>
  <si>
    <t>SEG/25-26/1634</t>
  </si>
  <si>
    <t>SEG/25-26/1790</t>
  </si>
  <si>
    <t>05AAQHS0197G2ZT</t>
  </si>
  <si>
    <t>M/S SHIVALIK VENTURES</t>
  </si>
  <si>
    <t>HHVL/1444/25-26</t>
  </si>
  <si>
    <t>HHVL/1509/25-26</t>
  </si>
  <si>
    <t>05ANSPA3277A1ZB</t>
  </si>
  <si>
    <t>M/S AVON AGRICULTURE INDUSTRIES</t>
  </si>
  <si>
    <t>157</t>
  </si>
  <si>
    <t>05BFEPS1130K1ZM</t>
  </si>
  <si>
    <t>M/S HIMALAYA MARKETING</t>
  </si>
  <si>
    <t>1549</t>
  </si>
  <si>
    <t>Gross Total</t>
  </si>
  <si>
    <t>SIDDIQUI ELECTRICAL</t>
  </si>
  <si>
    <t>PARMEET  TRADERS</t>
  </si>
  <si>
    <t>Panasonic Life Solutions India Ltd</t>
  </si>
  <si>
    <t>Rohan Madan Electric Company</t>
  </si>
  <si>
    <t>Skylight Distributors</t>
  </si>
  <si>
    <t>07AACCN3798F2Z7</t>
  </si>
  <si>
    <t>BE/2025-2026/1746</t>
  </si>
  <si>
    <t>ASIA PACIFIC CORPORATE SOLUTION PVT LTD</t>
  </si>
  <si>
    <t>APS25-26/281</t>
  </si>
  <si>
    <t>APS/25-26/282</t>
  </si>
  <si>
    <t>MAX AEROTRON PVT LTD</t>
  </si>
  <si>
    <t>JAI GOLIYU &amp; R.K AGENCIES</t>
  </si>
  <si>
    <t>NANDA SALES CORPORATION</t>
  </si>
  <si>
    <t>M. R.Enterprises</t>
  </si>
  <si>
    <t>AP HOME APPLIANCES</t>
  </si>
  <si>
    <t>KICHHA MARBLE HOUSE</t>
  </si>
  <si>
    <t>SHIVALIK VENTURE</t>
  </si>
  <si>
    <t>CNH/1217/25-26</t>
  </si>
  <si>
    <t>HIMALAYA MARKETING</t>
  </si>
  <si>
    <t>HIMALAYA ENTERPRISES</t>
  </si>
  <si>
    <t>MODEL AUTOMOBILES</t>
  </si>
  <si>
    <t>Shri Krishna Pipe Store</t>
  </si>
  <si>
    <t>AVON AGRICULTURE INDUSTRIES</t>
  </si>
  <si>
    <t>25-26/0683</t>
  </si>
  <si>
    <t>Mahalaxmi Enterprises</t>
  </si>
  <si>
    <t>224</t>
  </si>
  <si>
    <t>JAI AMBAY ELECTRICALS</t>
  </si>
  <si>
    <t>05AHGPA4111R1ZI</t>
  </si>
  <si>
    <t>SANGAM APPLIANCES &amp; ELECTRICALS PVT LTD</t>
  </si>
  <si>
    <t>SHRI RAM ELECTRICALS</t>
  </si>
  <si>
    <t>SHRE/2025-26/5556</t>
  </si>
  <si>
    <t>J B TRADING COMPANY</t>
  </si>
  <si>
    <t>VNJ001550</t>
  </si>
  <si>
    <t>05ATCPB2825K2Z0</t>
  </si>
  <si>
    <t>Grand Total</t>
  </si>
  <si>
    <t>SOURCE</t>
  </si>
  <si>
    <t>Gst data</t>
  </si>
  <si>
    <t>Tally Data</t>
  </si>
  <si>
    <t>Sum of Gross Total</t>
  </si>
  <si>
    <t>diff</t>
  </si>
  <si>
    <t>Row Labels</t>
  </si>
  <si>
    <t>Column Labels</t>
  </si>
  <si>
    <t>Details for Sum of Gross Total - GSTIN of supplier: 05AACCN3798F1ZC, SOURCE: Gst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</si>
</sst>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"/>
    <numFmt numFmtId="165" formatCode="&quot;&quot;0.00&quot; Cr&quot;"/>
    <numFmt numFmtId="168" formatCode="[$-14009]dd/mm/yyyy;@"/>
    <numFmt numFmtId="169" formatCode="dd\/mm\/yyyy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vertical="top"/>
    </xf>
    <xf numFmtId="49" fontId="6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horizontal="right" vertical="top"/>
    </xf>
    <xf numFmtId="165" fontId="6" fillId="0" borderId="1" xfId="0" applyNumberFormat="1" applyFont="1" applyBorder="1" applyAlignment="1">
      <alignment horizontal="right" vertical="top"/>
    </xf>
    <xf numFmtId="0" fontId="0" fillId="0" borderId="1" xfId="0" applyBorder="1"/>
    <xf numFmtId="0" fontId="0" fillId="0" borderId="0" xfId="0" pivotButton="1"/>
    <xf numFmtId="0" fontId="1" fillId="0" borderId="0" xfId="0" applyFont="1"/>
    <xf numFmtId="0" fontId="7" fillId="0" borderId="0" xfId="0" applyFont="1"/>
    <xf numFmtId="0" fontId="2" fillId="3" borderId="4" xfId="0" applyFont="1" applyFill="1" applyBorder="1"/>
    <xf numFmtId="0" fontId="2" fillId="0" borderId="0" xfId="0" applyFont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4" fillId="0" borderId="1" xfId="0" applyNumberFormat="1" applyFont="1" applyBorder="1" applyAlignment="1">
      <alignment horizontal="left"/>
    </xf>
    <xf numFmtId="168" fontId="4" fillId="0" borderId="1" xfId="0" applyNumberFormat="1" applyFont="1" applyBorder="1" applyAlignment="1">
      <alignment horizontal="left"/>
    </xf>
    <xf numFmtId="14" fontId="4" fillId="0" borderId="0" xfId="0" applyNumberFormat="1" applyFont="1" applyAlignment="1">
      <alignment horizontal="left"/>
    </xf>
    <xf numFmtId="169" fontId="5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 indent="3"/>
    </xf>
    <xf numFmtId="14" fontId="0" fillId="0" borderId="0" xfId="0" applyNumberFormat="1" applyAlignment="1">
      <alignment horizontal="left" indent="1"/>
    </xf>
  </cellXfs>
  <cellStyles count="1">
    <cellStyle name="Normal" xfId="0" builtinId="0"/>
  </cellStyles>
  <dxfs count="30">
    <dxf>
      <font>
        <color rgb="FFFF0000"/>
      </font>
    </dxf>
    <dxf>
      <font>
        <color theme="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theme="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theme="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theme="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theme="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theme="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theme="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theme="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theme="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4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singh" refreshedDate="46094.445337731479" createdVersion="8" refreshedVersion="8" minRefreshableVersion="3" recordCount="144" xr:uid="{840DCBF4-6F64-4D37-BF45-8D729B89DE7F}">
  <cacheSource type="worksheet">
    <worksheetSource ref="A1:G145" sheet="gST"/>
  </cacheSource>
  <cacheFields count="7">
    <cacheField name="GSTIN of supplier" numFmtId="0">
      <sharedItems count="37">
        <s v="05AAUFB7794A1Z6"/>
        <s v="05ADVPC1437H1ZN"/>
        <s v="05ATMPB0224C1ZJ"/>
        <s v="05AEYPC9361G1Z5"/>
        <s v="05ADQPP9467K1ZM"/>
        <s v="05AEYPC9362F1Z6"/>
        <s v="05AACCN3798F1ZC"/>
        <s v="05AAACP6474E1ZJ"/>
        <s v="05FIZPS8905N1ZZ"/>
        <s v="05AGTPA4297N1ZS"/>
        <s v="05AAFCM9845D1ZE"/>
        <s v="05ACAPC8976B1ZW"/>
        <s v="05AAHCS4188F1Z8"/>
        <s v="05AJWPP7746H1ZG"/>
        <s v="05AALCA1343E1Z5"/>
        <s v="05ICIPS1062J1ZC"/>
        <s v="05ABBFM3471H1ZG"/>
        <s v="05ACBPD3633K1ZZ"/>
        <s v="05ABAPA2880P1ZO"/>
        <s v="05LCDPS0119Q1Z4"/>
        <s v="05ABVPL3435A1ZU"/>
        <s v="05DWPPS6957E1ZU"/>
        <s v="05AZXPS1766P1Z7"/>
        <s v="05AZJPA6861D1ZM"/>
        <s v="05AAECA2190C1Z9"/>
        <s v="05AHIPA2536N1ZF"/>
        <s v="05ARIPK4863C1ZX"/>
        <s v="05ALAPN7783Q1ZC"/>
        <s v="05AAGCM4426M1ZB"/>
        <s v="05AAHPY6434F1ZI"/>
        <s v="05AYJPS3430R2ZT"/>
        <s v="05AAQHS0197G2ZT"/>
        <s v="05ANSPA3277A1ZB"/>
        <s v="05BFEPS1130K1ZM"/>
        <s v="07AACCN3798F2Z7"/>
        <s v="05AHGPA4111R1ZI"/>
        <s v="05ATCPB2825K2Z0"/>
      </sharedItems>
    </cacheField>
    <cacheField name="Trade/Legal name" numFmtId="0">
      <sharedItems count="56">
        <s v="BORA ENTERPRISES"/>
        <s v="M/S SAMTA AGENCIES"/>
        <s v="A P HOME APPLIANCES"/>
        <s v="M/S JAI AMBAY ELECTRICALS"/>
        <s v="M/S ROHAN MADAN ELECTRIC COMPANY"/>
        <s v="M/S SHRI RAM ELECTRICALS"/>
        <s v="PLAZA WIRES LIMITED"/>
        <s v="POLYCAB INDIA LIMITED"/>
        <s v="M/S GURUKRIPA TRADERS"/>
        <s v="M/S SWASTIK ELECTRICALS"/>
        <s v="Max Aerotron Private Limited"/>
        <s v="CHAWLA ELECTRICALS"/>
        <s v="M/S SANGAM APPLIANCES AND ELECTRICALS PVT. LTD."/>
        <s v="M/S NANDA SALES CORPORATION "/>
        <s v="ASIAPACIFIC CORPORATE SOLUTIONS PRIVATE LIMITED"/>
        <s v="JAI GOLJYU &amp; R.K. AGENCIES"/>
        <s v="M/S M R ENTERPRISES"/>
        <s v="M/S NARAYANI APPLIANCES"/>
        <s v="M/S Adarsh Tube Corporation"/>
        <s v="PARMEET TRADERS"/>
        <s v="M/S SHRI KRISHNA PIPE STORE"/>
        <s v="M/s MAHALAXMI ENTERPRISES"/>
        <s v="M/S MODEL AUTO MOBILES"/>
        <s v="Eltek Industries"/>
        <s v="PANASONIC LIFE SOLUTIONS INDIA PRIVATE LIMITED"/>
        <s v="M/S HIMALIYA ENTERPRISES"/>
        <s v="SKYLIGHT DISTRIBUTORS"/>
        <s v="ZOOM MOBILE &amp; GIFT GALLERY"/>
        <s v="MIDAS ELECTRONICS PRIVATE LIMITED"/>
        <s v="M/S KICHHA MARBLE HOUSE"/>
        <s v="M/S SIDDIQUI ELECTRICAL"/>
        <s v="M/S SHIVALIK VENTURES"/>
        <s v="M/S AVON AGRICULTURE INDUSTRIES"/>
        <s v="M/S HIMALAYA MARKETING"/>
        <s v="SIDDIQUI ELECTRICAL"/>
        <s v="PARMEET  TRADERS"/>
        <s v="Panasonic Life Solutions India Ltd"/>
        <s v="Rohan Madan Electric Company"/>
        <s v="ASIA PACIFIC CORPORATE SOLUTION PVT LTD"/>
        <s v="MAX AEROTRON PVT LTD"/>
        <s v="JAI GOLIYU &amp; R.K AGENCIES"/>
        <s v="NANDA SALES CORPORATION"/>
        <s v="M. R.Enterprises"/>
        <s v="AP HOME APPLIANCES"/>
        <s v="KICHHA MARBLE HOUSE"/>
        <s v="SHIVALIK VENTURE"/>
        <s v="HIMALAYA MARKETING"/>
        <s v="HIMALAYA ENTERPRISES"/>
        <s v="MODEL AUTOMOBILES"/>
        <s v="Shri Krishna Pipe Store"/>
        <s v="AVON AGRICULTURE INDUSTRIES"/>
        <s v="Mahalaxmi Enterprises"/>
        <s v="JAI AMBAY ELECTRICALS"/>
        <s v="SANGAM APPLIANCES &amp; ELECTRICALS PVT LTD"/>
        <s v="SHRI RAM ELECTRICALS"/>
        <s v="J B TRADING COMPANY"/>
      </sharedItems>
    </cacheField>
    <cacheField name="Invoice number" numFmtId="0">
      <sharedItems count="90">
        <s v="BE/2025-26/1742"/>
        <s v="BE/2025-26/1746"/>
        <s v="BE/2025-26/1825"/>
        <s v="BE/2025-26/1858"/>
        <s v="BE/2025-26/1887"/>
        <s v="BE/2025-26/1939"/>
        <s v="2037"/>
        <s v="2071"/>
        <s v="2318"/>
        <s v="25-26/1401"/>
        <s v="JAE/2025-26/5574"/>
        <s v="1006730"/>
        <s v="1006771"/>
        <s v="1006820"/>
        <s v="1006854"/>
        <s v="1006858"/>
        <s v="1006883"/>
        <s v="1006994"/>
        <s v="1007017"/>
        <s v="1007021"/>
        <s v="1007143"/>
        <s v="1007162"/>
        <s v="1007188"/>
        <s v="1007237"/>
        <s v="1007300"/>
        <s v="1007319"/>
        <s v="1007363"/>
        <s v="1007445"/>
        <s v="1007477"/>
        <s v="1007489"/>
        <s v="1007542"/>
        <s v="1007552"/>
        <s v="A000001"/>
        <s v="SRE/2025-26/5556"/>
        <s v="DDN/00444/25-26"/>
        <s v="UT600S2526103313"/>
        <s v="FY25-26/58"/>
        <s v="25-26/2624"/>
        <s v="25-26/2655"/>
        <s v="25-26/2867"/>
        <s v="252622300"/>
        <s v="252622358"/>
        <s v="252622392"/>
        <s v="CE/1722/25-26"/>
        <s v="2006"/>
        <s v="NSC/4279"/>
        <s v="APS/25-26/281"/>
        <s v="JG/25-26/2318"/>
        <s v="A004036"/>
        <s v="A004276"/>
        <s v="25-26/792"/>
        <s v="25-26/869"/>
        <s v="25-26/887"/>
        <s v="2025-26/5891"/>
        <s v="25-26/P1732"/>
        <s v="DEC/10215"/>
        <s v="DEC/9899"/>
        <s v="2025-26/224"/>
        <s v="25-26/M2219"/>
        <s v="EI/25-26/1213"/>
        <s v="4080125008138"/>
        <s v="4080125008324"/>
        <s v="4080125008484"/>
        <s v="4080125008677"/>
        <s v="4080125008843"/>
        <s v="1071"/>
        <s v="2025-26/0605"/>
        <s v="2025-26/0615"/>
        <s v="2025-26/0632"/>
        <s v="2025-26/0651"/>
        <s v="2025-26/0666"/>
        <s v="2025-26/0670"/>
        <s v="2025-26/0683"/>
        <s v="B000644"/>
        <s v="SD/25-26/0673"/>
        <s v="KMH/25-26/6478"/>
        <s v="SEG/25-26/1634"/>
        <s v="SEG/25-26/1790"/>
        <s v="HHVL/1444/25-26"/>
        <s v="HHVL/1509/25-26"/>
        <s v="157"/>
        <s v="1549"/>
        <s v="BE/2025-2026/1746"/>
        <s v="APS25-26/281"/>
        <s v="APS/25-26/282"/>
        <s v="CNH/1217/25-26"/>
        <s v="25-26/0683"/>
        <s v="224"/>
        <s v="SHRE/2025-26/5556"/>
        <s v="VNJ001550"/>
      </sharedItems>
    </cacheField>
    <cacheField name="Invoice Date" numFmtId="0">
      <sharedItems containsDate="1" containsMixedTypes="1" minDate="2025-12-01T00:00:00" maxDate="2025-12-31T00:00:00" count="56">
        <s v="05/12/2025"/>
        <s v="07/12/2025"/>
        <s v="17/12/2025"/>
        <s v="23/12/2025"/>
        <s v="26/12/2025"/>
        <s v="30/12/2025"/>
        <s v="10/10/2025"/>
        <s v="13/10/2025"/>
        <s v="10/11/2025"/>
        <s v="15/12/2025"/>
        <s v="27/12/2025"/>
        <s v="03/12/2025"/>
        <s v="04/12/2025"/>
        <s v="08/12/2025"/>
        <s v="09/12/2025"/>
        <s v="12/12/2025"/>
        <s v="14/12/2025"/>
        <s v="18/12/2025"/>
        <s v="19/12/2025"/>
        <s v="21/12/2025"/>
        <s v="25/12/2025"/>
        <s v="28/12/2025"/>
        <s v="29/12/2025"/>
        <s v="06/12/2025"/>
        <s v="31/12/2025"/>
        <s v="16/12/2025"/>
        <s v="11/12/2025"/>
        <s v="01/12/2025"/>
        <s v="24/12/2025"/>
        <s v="02/12/2025"/>
        <s v="10/12/2025"/>
        <s v="22/12/2025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2T00:00:00"/>
        <d v="2025-12-14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5T00:00:00"/>
        <d v="2025-12-26T00:00:00"/>
        <d v="2025-12-27T00:00:00"/>
        <d v="2025-12-28T00:00:00"/>
        <d v="2025-12-30T00:00:00"/>
      </sharedItems>
    </cacheField>
    <cacheField name="Invoice Value(₹)" numFmtId="0">
      <sharedItems containsSemiMixedTypes="0" containsString="0" containsNumber="1" minValue="338.98" maxValue="112547.5"/>
    </cacheField>
    <cacheField name="Gross Total" numFmtId="0">
      <sharedItems containsSemiMixedTypes="0" containsString="0" containsNumber="1" minValue="400" maxValue="132806"/>
    </cacheField>
    <cacheField name="SOURCE" numFmtId="0">
      <sharedItems count="2">
        <s v="Gst data"/>
        <s v="Tally Da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x v="0"/>
    <x v="0"/>
    <x v="0"/>
    <x v="0"/>
    <n v="26911"/>
    <n v="31755"/>
    <x v="0"/>
  </r>
  <r>
    <x v="0"/>
    <x v="0"/>
    <x v="1"/>
    <x v="1"/>
    <n v="5101.6000000000004"/>
    <n v="6020"/>
    <x v="0"/>
  </r>
  <r>
    <x v="0"/>
    <x v="0"/>
    <x v="2"/>
    <x v="2"/>
    <n v="30523.4"/>
    <n v="36018"/>
    <x v="0"/>
  </r>
  <r>
    <x v="0"/>
    <x v="0"/>
    <x v="3"/>
    <x v="3"/>
    <n v="17796"/>
    <n v="20999"/>
    <x v="0"/>
  </r>
  <r>
    <x v="0"/>
    <x v="0"/>
    <x v="4"/>
    <x v="4"/>
    <n v="3805.1"/>
    <n v="4490"/>
    <x v="0"/>
  </r>
  <r>
    <x v="0"/>
    <x v="0"/>
    <x v="5"/>
    <x v="5"/>
    <n v="40673.800000000003"/>
    <n v="47995"/>
    <x v="0"/>
  </r>
  <r>
    <x v="1"/>
    <x v="1"/>
    <x v="6"/>
    <x v="6"/>
    <n v="3388.8"/>
    <n v="3999"/>
    <x v="0"/>
  </r>
  <r>
    <x v="1"/>
    <x v="1"/>
    <x v="7"/>
    <x v="7"/>
    <n v="6777.6"/>
    <n v="7998"/>
    <x v="0"/>
  </r>
  <r>
    <x v="1"/>
    <x v="1"/>
    <x v="8"/>
    <x v="8"/>
    <n v="10166.4"/>
    <n v="11996"/>
    <x v="0"/>
  </r>
  <r>
    <x v="2"/>
    <x v="2"/>
    <x v="9"/>
    <x v="9"/>
    <n v="8262.7199999999993"/>
    <n v="9750"/>
    <x v="0"/>
  </r>
  <r>
    <x v="3"/>
    <x v="3"/>
    <x v="10"/>
    <x v="10"/>
    <n v="112547.5"/>
    <n v="132806"/>
    <x v="0"/>
  </r>
  <r>
    <x v="4"/>
    <x v="4"/>
    <x v="11"/>
    <x v="11"/>
    <n v="3974.5"/>
    <n v="4690"/>
    <x v="0"/>
  </r>
  <r>
    <x v="4"/>
    <x v="4"/>
    <x v="12"/>
    <x v="12"/>
    <n v="6610.14"/>
    <n v="7800"/>
    <x v="0"/>
  </r>
  <r>
    <x v="4"/>
    <x v="4"/>
    <x v="13"/>
    <x v="1"/>
    <n v="8940.68"/>
    <n v="10550"/>
    <x v="0"/>
  </r>
  <r>
    <x v="4"/>
    <x v="4"/>
    <x v="14"/>
    <x v="1"/>
    <n v="8542.35"/>
    <n v="10080"/>
    <x v="0"/>
  </r>
  <r>
    <x v="4"/>
    <x v="4"/>
    <x v="15"/>
    <x v="13"/>
    <n v="3878"/>
    <n v="4576.04"/>
    <x v="0"/>
  </r>
  <r>
    <x v="4"/>
    <x v="4"/>
    <x v="16"/>
    <x v="14"/>
    <n v="7627.11"/>
    <n v="9000"/>
    <x v="0"/>
  </r>
  <r>
    <x v="4"/>
    <x v="4"/>
    <x v="17"/>
    <x v="15"/>
    <n v="17585.580000000002"/>
    <n v="20751"/>
    <x v="0"/>
  </r>
  <r>
    <x v="4"/>
    <x v="4"/>
    <x v="18"/>
    <x v="16"/>
    <n v="31763"/>
    <n v="37480.339999999997"/>
    <x v="0"/>
  </r>
  <r>
    <x v="4"/>
    <x v="4"/>
    <x v="19"/>
    <x v="16"/>
    <n v="13716.11"/>
    <n v="16185.01"/>
    <x v="0"/>
  </r>
  <r>
    <x v="4"/>
    <x v="4"/>
    <x v="20"/>
    <x v="17"/>
    <n v="20212.400000000001"/>
    <n v="23851"/>
    <x v="0"/>
  </r>
  <r>
    <x v="4"/>
    <x v="4"/>
    <x v="21"/>
    <x v="17"/>
    <n v="24718.01"/>
    <n v="29167.25"/>
    <x v="0"/>
  </r>
  <r>
    <x v="4"/>
    <x v="4"/>
    <x v="22"/>
    <x v="18"/>
    <n v="12547.7"/>
    <n v="14806.3"/>
    <x v="0"/>
  </r>
  <r>
    <x v="4"/>
    <x v="4"/>
    <x v="23"/>
    <x v="19"/>
    <n v="4292.8100000000004"/>
    <n v="5066"/>
    <x v="0"/>
  </r>
  <r>
    <x v="4"/>
    <x v="4"/>
    <x v="24"/>
    <x v="3"/>
    <n v="27876"/>
    <n v="32894"/>
    <x v="0"/>
  </r>
  <r>
    <x v="4"/>
    <x v="4"/>
    <x v="25"/>
    <x v="3"/>
    <n v="20722.2"/>
    <n v="24452.26"/>
    <x v="0"/>
  </r>
  <r>
    <x v="4"/>
    <x v="4"/>
    <x v="26"/>
    <x v="20"/>
    <n v="10169.48"/>
    <n v="12000"/>
    <x v="0"/>
  </r>
  <r>
    <x v="4"/>
    <x v="4"/>
    <x v="27"/>
    <x v="21"/>
    <n v="5603.07"/>
    <n v="6612"/>
    <x v="0"/>
  </r>
  <r>
    <x v="4"/>
    <x v="4"/>
    <x v="28"/>
    <x v="22"/>
    <n v="41501.199999999997"/>
    <n v="48971.4"/>
    <x v="0"/>
  </r>
  <r>
    <x v="4"/>
    <x v="4"/>
    <x v="29"/>
    <x v="22"/>
    <n v="5672.69"/>
    <n v="6694"/>
    <x v="0"/>
  </r>
  <r>
    <x v="4"/>
    <x v="4"/>
    <x v="30"/>
    <x v="5"/>
    <n v="32604.799999999999"/>
    <n v="38474"/>
    <x v="0"/>
  </r>
  <r>
    <x v="4"/>
    <x v="4"/>
    <x v="31"/>
    <x v="5"/>
    <n v="7821.8"/>
    <n v="9230"/>
    <x v="0"/>
  </r>
  <r>
    <x v="4"/>
    <x v="4"/>
    <x v="32"/>
    <x v="4"/>
    <n v="14932.2"/>
    <n v="17620"/>
    <x v="0"/>
  </r>
  <r>
    <x v="5"/>
    <x v="5"/>
    <x v="33"/>
    <x v="21"/>
    <n v="37169.440000000002"/>
    <n v="43860"/>
    <x v="0"/>
  </r>
  <r>
    <x v="6"/>
    <x v="6"/>
    <x v="34"/>
    <x v="23"/>
    <n v="49817.14"/>
    <n v="58784"/>
    <x v="0"/>
  </r>
  <r>
    <x v="7"/>
    <x v="7"/>
    <x v="35"/>
    <x v="5"/>
    <n v="99725.2"/>
    <n v="117675.74"/>
    <x v="0"/>
  </r>
  <r>
    <x v="8"/>
    <x v="8"/>
    <x v="36"/>
    <x v="4"/>
    <n v="5035.2"/>
    <n v="5942"/>
    <x v="0"/>
  </r>
  <r>
    <x v="9"/>
    <x v="9"/>
    <x v="37"/>
    <x v="14"/>
    <n v="68813.399999999994"/>
    <n v="81200"/>
    <x v="0"/>
  </r>
  <r>
    <x v="9"/>
    <x v="9"/>
    <x v="38"/>
    <x v="15"/>
    <n v="59531.6"/>
    <n v="70247"/>
    <x v="0"/>
  </r>
  <r>
    <x v="9"/>
    <x v="9"/>
    <x v="39"/>
    <x v="24"/>
    <n v="39406.800000000003"/>
    <n v="46500"/>
    <x v="0"/>
  </r>
  <r>
    <x v="10"/>
    <x v="10"/>
    <x v="40"/>
    <x v="23"/>
    <n v="13050.85"/>
    <n v="15400"/>
    <x v="0"/>
  </r>
  <r>
    <x v="10"/>
    <x v="10"/>
    <x v="41"/>
    <x v="15"/>
    <n v="16779.66"/>
    <n v="19800"/>
    <x v="0"/>
  </r>
  <r>
    <x v="10"/>
    <x v="10"/>
    <x v="42"/>
    <x v="25"/>
    <n v="3728.8"/>
    <n v="4400"/>
    <x v="0"/>
  </r>
  <r>
    <x v="11"/>
    <x v="11"/>
    <x v="43"/>
    <x v="26"/>
    <n v="10508.48"/>
    <n v="12400"/>
    <x v="0"/>
  </r>
  <r>
    <x v="12"/>
    <x v="12"/>
    <x v="44"/>
    <x v="21"/>
    <n v="7860"/>
    <n v="9275"/>
    <x v="0"/>
  </r>
  <r>
    <x v="13"/>
    <x v="13"/>
    <x v="45"/>
    <x v="16"/>
    <n v="5168.8999999999996"/>
    <n v="6099"/>
    <x v="0"/>
  </r>
  <r>
    <x v="14"/>
    <x v="14"/>
    <x v="46"/>
    <x v="13"/>
    <n v="4449"/>
    <n v="5250"/>
    <x v="0"/>
  </r>
  <r>
    <x v="15"/>
    <x v="15"/>
    <x v="47"/>
    <x v="15"/>
    <n v="4983"/>
    <n v="5880"/>
    <x v="0"/>
  </r>
  <r>
    <x v="16"/>
    <x v="16"/>
    <x v="48"/>
    <x v="16"/>
    <n v="59598.3"/>
    <n v="70326"/>
    <x v="0"/>
  </r>
  <r>
    <x v="16"/>
    <x v="16"/>
    <x v="49"/>
    <x v="4"/>
    <n v="31044.9"/>
    <n v="36633"/>
    <x v="0"/>
  </r>
  <r>
    <x v="17"/>
    <x v="17"/>
    <x v="50"/>
    <x v="27"/>
    <n v="30550.92"/>
    <n v="36050"/>
    <x v="0"/>
  </r>
  <r>
    <x v="17"/>
    <x v="17"/>
    <x v="51"/>
    <x v="28"/>
    <n v="5694.96"/>
    <n v="6720"/>
    <x v="0"/>
  </r>
  <r>
    <x v="17"/>
    <x v="17"/>
    <x v="52"/>
    <x v="5"/>
    <n v="4000"/>
    <n v="4720"/>
    <x v="0"/>
  </r>
  <r>
    <x v="18"/>
    <x v="18"/>
    <x v="53"/>
    <x v="11"/>
    <n v="6144"/>
    <n v="7250"/>
    <x v="0"/>
  </r>
  <r>
    <x v="19"/>
    <x v="19"/>
    <x v="54"/>
    <x v="29"/>
    <n v="40853.449999999997"/>
    <n v="48207"/>
    <x v="0"/>
  </r>
  <r>
    <x v="20"/>
    <x v="20"/>
    <x v="55"/>
    <x v="5"/>
    <n v="38500.800000000003"/>
    <n v="45431"/>
    <x v="0"/>
  </r>
  <r>
    <x v="20"/>
    <x v="20"/>
    <x v="56"/>
    <x v="3"/>
    <n v="36483"/>
    <n v="43050"/>
    <x v="0"/>
  </r>
  <r>
    <x v="21"/>
    <x v="21"/>
    <x v="57"/>
    <x v="4"/>
    <n v="12125"/>
    <n v="14308"/>
    <x v="0"/>
  </r>
  <r>
    <x v="22"/>
    <x v="22"/>
    <x v="58"/>
    <x v="18"/>
    <n v="22928.81"/>
    <n v="27056"/>
    <x v="0"/>
  </r>
  <r>
    <x v="23"/>
    <x v="23"/>
    <x v="59"/>
    <x v="18"/>
    <n v="30761.8"/>
    <n v="36299"/>
    <x v="0"/>
  </r>
  <r>
    <x v="24"/>
    <x v="24"/>
    <x v="60"/>
    <x v="29"/>
    <n v="18233.7"/>
    <n v="21515.759999999998"/>
    <x v="0"/>
  </r>
  <r>
    <x v="24"/>
    <x v="24"/>
    <x v="61"/>
    <x v="30"/>
    <n v="34711.599999999999"/>
    <n v="40959.68"/>
    <x v="0"/>
  </r>
  <r>
    <x v="24"/>
    <x v="24"/>
    <x v="62"/>
    <x v="25"/>
    <n v="21198.66"/>
    <n v="25014.42"/>
    <x v="0"/>
  </r>
  <r>
    <x v="24"/>
    <x v="24"/>
    <x v="63"/>
    <x v="3"/>
    <n v="22721.599999999999"/>
    <n v="26811.5"/>
    <x v="0"/>
  </r>
  <r>
    <x v="24"/>
    <x v="24"/>
    <x v="64"/>
    <x v="10"/>
    <n v="33994.400000000001"/>
    <n v="40113.4"/>
    <x v="0"/>
  </r>
  <r>
    <x v="25"/>
    <x v="25"/>
    <x v="65"/>
    <x v="18"/>
    <n v="6227.74"/>
    <n v="7349"/>
    <x v="0"/>
  </r>
  <r>
    <x v="26"/>
    <x v="26"/>
    <x v="66"/>
    <x v="12"/>
    <n v="41694.92"/>
    <n v="49200"/>
    <x v="0"/>
  </r>
  <r>
    <x v="26"/>
    <x v="26"/>
    <x v="67"/>
    <x v="23"/>
    <n v="42033.9"/>
    <n v="49600"/>
    <x v="0"/>
  </r>
  <r>
    <x v="26"/>
    <x v="26"/>
    <x v="68"/>
    <x v="15"/>
    <n v="41186.44"/>
    <n v="48600"/>
    <x v="0"/>
  </r>
  <r>
    <x v="26"/>
    <x v="26"/>
    <x v="69"/>
    <x v="18"/>
    <n v="41694.92"/>
    <n v="49200"/>
    <x v="0"/>
  </r>
  <r>
    <x v="26"/>
    <x v="26"/>
    <x v="70"/>
    <x v="31"/>
    <n v="41983.040000000001"/>
    <n v="49540"/>
    <x v="0"/>
  </r>
  <r>
    <x v="26"/>
    <x v="26"/>
    <x v="71"/>
    <x v="3"/>
    <n v="41949.16"/>
    <n v="49500"/>
    <x v="0"/>
  </r>
  <r>
    <x v="26"/>
    <x v="26"/>
    <x v="72"/>
    <x v="20"/>
    <n v="41186.44"/>
    <n v="48600"/>
    <x v="0"/>
  </r>
  <r>
    <x v="27"/>
    <x v="27"/>
    <x v="73"/>
    <x v="30"/>
    <n v="13559.32"/>
    <n v="16000"/>
    <x v="0"/>
  </r>
  <r>
    <x v="28"/>
    <x v="28"/>
    <x v="74"/>
    <x v="4"/>
    <n v="7796.6"/>
    <n v="9200"/>
    <x v="0"/>
  </r>
  <r>
    <x v="29"/>
    <x v="29"/>
    <x v="75"/>
    <x v="9"/>
    <n v="27589.29"/>
    <n v="32555"/>
    <x v="0"/>
  </r>
  <r>
    <x v="30"/>
    <x v="30"/>
    <x v="76"/>
    <x v="27"/>
    <n v="3762.16"/>
    <n v="4439"/>
    <x v="0"/>
  </r>
  <r>
    <x v="30"/>
    <x v="30"/>
    <x v="77"/>
    <x v="31"/>
    <n v="37823.42"/>
    <n v="44632"/>
    <x v="0"/>
  </r>
  <r>
    <x v="31"/>
    <x v="31"/>
    <x v="78"/>
    <x v="25"/>
    <n v="42033.9"/>
    <n v="49600"/>
    <x v="0"/>
  </r>
  <r>
    <x v="31"/>
    <x v="31"/>
    <x v="79"/>
    <x v="31"/>
    <n v="5516.94"/>
    <n v="6510"/>
    <x v="0"/>
  </r>
  <r>
    <x v="32"/>
    <x v="32"/>
    <x v="80"/>
    <x v="20"/>
    <n v="18740"/>
    <n v="22113"/>
    <x v="0"/>
  </r>
  <r>
    <x v="33"/>
    <x v="33"/>
    <x v="81"/>
    <x v="17"/>
    <n v="7016.96"/>
    <n v="8280.02"/>
    <x v="0"/>
  </r>
  <r>
    <x v="30"/>
    <x v="34"/>
    <x v="76"/>
    <x v="32"/>
    <n v="3762.16"/>
    <n v="4439"/>
    <x v="1"/>
  </r>
  <r>
    <x v="19"/>
    <x v="35"/>
    <x v="54"/>
    <x v="33"/>
    <n v="40853.47"/>
    <n v="48207"/>
    <x v="1"/>
  </r>
  <r>
    <x v="24"/>
    <x v="36"/>
    <x v="60"/>
    <x v="33"/>
    <n v="18233.7"/>
    <n v="21516"/>
    <x v="1"/>
  </r>
  <r>
    <x v="18"/>
    <x v="18"/>
    <x v="53"/>
    <x v="34"/>
    <n v="6144"/>
    <n v="7250"/>
    <x v="1"/>
  </r>
  <r>
    <x v="4"/>
    <x v="37"/>
    <x v="12"/>
    <x v="35"/>
    <n v="6610.14"/>
    <n v="7800"/>
    <x v="1"/>
  </r>
  <r>
    <x v="26"/>
    <x v="26"/>
    <x v="66"/>
    <x v="35"/>
    <n v="41694.92"/>
    <n v="49200"/>
    <x v="1"/>
  </r>
  <r>
    <x v="0"/>
    <x v="0"/>
    <x v="0"/>
    <x v="36"/>
    <n v="26911"/>
    <n v="31755"/>
    <x v="1"/>
  </r>
  <r>
    <x v="34"/>
    <x v="6"/>
    <x v="34"/>
    <x v="37"/>
    <n v="49817.04"/>
    <n v="58784"/>
    <x v="1"/>
  </r>
  <r>
    <x v="26"/>
    <x v="26"/>
    <x v="67"/>
    <x v="37"/>
    <n v="42033.9"/>
    <n v="49600"/>
    <x v="1"/>
  </r>
  <r>
    <x v="4"/>
    <x v="37"/>
    <x v="13"/>
    <x v="38"/>
    <n v="8940.68"/>
    <n v="10550"/>
    <x v="1"/>
  </r>
  <r>
    <x v="4"/>
    <x v="37"/>
    <x v="14"/>
    <x v="38"/>
    <n v="8542.35"/>
    <n v="10080"/>
    <x v="1"/>
  </r>
  <r>
    <x v="0"/>
    <x v="0"/>
    <x v="82"/>
    <x v="38"/>
    <n v="5101.6000000000004"/>
    <n v="6020"/>
    <x v="1"/>
  </r>
  <r>
    <x v="4"/>
    <x v="37"/>
    <x v="15"/>
    <x v="39"/>
    <n v="3878"/>
    <n v="4576"/>
    <x v="1"/>
  </r>
  <r>
    <x v="14"/>
    <x v="38"/>
    <x v="83"/>
    <x v="39"/>
    <n v="4449"/>
    <n v="5250"/>
    <x v="1"/>
  </r>
  <r>
    <x v="14"/>
    <x v="38"/>
    <x v="84"/>
    <x v="39"/>
    <n v="5262.6"/>
    <n v="6210"/>
    <x v="1"/>
  </r>
  <r>
    <x v="4"/>
    <x v="37"/>
    <x v="16"/>
    <x v="40"/>
    <n v="7627.11"/>
    <n v="9000"/>
    <x v="1"/>
  </r>
  <r>
    <x v="27"/>
    <x v="27"/>
    <x v="73"/>
    <x v="41"/>
    <n v="13559.32"/>
    <n v="16000"/>
    <x v="1"/>
  </r>
  <r>
    <x v="24"/>
    <x v="36"/>
    <x v="61"/>
    <x v="41"/>
    <n v="34711.599999999999"/>
    <n v="40960"/>
    <x v="1"/>
  </r>
  <r>
    <x v="4"/>
    <x v="37"/>
    <x v="17"/>
    <x v="42"/>
    <n v="17585.580000000002"/>
    <n v="20751"/>
    <x v="1"/>
  </r>
  <r>
    <x v="10"/>
    <x v="39"/>
    <x v="41"/>
    <x v="42"/>
    <n v="16779.599999999999"/>
    <n v="19800"/>
    <x v="1"/>
  </r>
  <r>
    <x v="15"/>
    <x v="40"/>
    <x v="47"/>
    <x v="42"/>
    <n v="4983"/>
    <n v="5880"/>
    <x v="1"/>
  </r>
  <r>
    <x v="26"/>
    <x v="26"/>
    <x v="68"/>
    <x v="42"/>
    <n v="41186.44"/>
    <n v="48600"/>
    <x v="1"/>
  </r>
  <r>
    <x v="4"/>
    <x v="37"/>
    <x v="18"/>
    <x v="43"/>
    <n v="31763"/>
    <n v="37480"/>
    <x v="1"/>
  </r>
  <r>
    <x v="13"/>
    <x v="41"/>
    <x v="45"/>
    <x v="43"/>
    <n v="5168.8999999999996"/>
    <n v="6099"/>
    <x v="1"/>
  </r>
  <r>
    <x v="16"/>
    <x v="42"/>
    <x v="48"/>
    <x v="43"/>
    <n v="59598.3"/>
    <n v="70326"/>
    <x v="1"/>
  </r>
  <r>
    <x v="2"/>
    <x v="43"/>
    <x v="9"/>
    <x v="44"/>
    <n v="8262.7199999999993"/>
    <n v="9750"/>
    <x v="1"/>
  </r>
  <r>
    <x v="29"/>
    <x v="44"/>
    <x v="75"/>
    <x v="44"/>
    <n v="27589.29"/>
    <n v="32555"/>
    <x v="1"/>
  </r>
  <r>
    <x v="24"/>
    <x v="36"/>
    <x v="62"/>
    <x v="45"/>
    <n v="21198.66"/>
    <n v="25014"/>
    <x v="1"/>
  </r>
  <r>
    <x v="31"/>
    <x v="45"/>
    <x v="78"/>
    <x v="45"/>
    <n v="42033.9"/>
    <n v="49600"/>
    <x v="1"/>
  </r>
  <r>
    <x v="31"/>
    <x v="45"/>
    <x v="85"/>
    <x v="45"/>
    <n v="338.98"/>
    <n v="400"/>
    <x v="1"/>
  </r>
  <r>
    <x v="10"/>
    <x v="39"/>
    <x v="42"/>
    <x v="45"/>
    <n v="3728.8"/>
    <n v="4400"/>
    <x v="1"/>
  </r>
  <r>
    <x v="0"/>
    <x v="0"/>
    <x v="2"/>
    <x v="46"/>
    <n v="30523.4"/>
    <n v="36018"/>
    <x v="1"/>
  </r>
  <r>
    <x v="33"/>
    <x v="46"/>
    <x v="81"/>
    <x v="47"/>
    <n v="7016.96"/>
    <n v="8280"/>
    <x v="1"/>
  </r>
  <r>
    <x v="25"/>
    <x v="47"/>
    <x v="65"/>
    <x v="48"/>
    <n v="6227.74"/>
    <n v="7349"/>
    <x v="1"/>
  </r>
  <r>
    <x v="4"/>
    <x v="37"/>
    <x v="22"/>
    <x v="48"/>
    <n v="12547.7"/>
    <n v="14806"/>
    <x v="1"/>
  </r>
  <r>
    <x v="22"/>
    <x v="48"/>
    <x v="58"/>
    <x v="48"/>
    <n v="22928.81"/>
    <n v="27056"/>
    <x v="1"/>
  </r>
  <r>
    <x v="23"/>
    <x v="23"/>
    <x v="59"/>
    <x v="48"/>
    <n v="30761.8"/>
    <n v="36299"/>
    <x v="1"/>
  </r>
  <r>
    <x v="26"/>
    <x v="26"/>
    <x v="69"/>
    <x v="48"/>
    <n v="41694.92"/>
    <n v="49200"/>
    <x v="1"/>
  </r>
  <r>
    <x v="30"/>
    <x v="34"/>
    <x v="77"/>
    <x v="49"/>
    <n v="37823.42"/>
    <n v="44632"/>
    <x v="1"/>
  </r>
  <r>
    <x v="31"/>
    <x v="45"/>
    <x v="79"/>
    <x v="49"/>
    <n v="5516.94"/>
    <n v="6510"/>
    <x v="1"/>
  </r>
  <r>
    <x v="26"/>
    <x v="26"/>
    <x v="70"/>
    <x v="49"/>
    <n v="41982.96"/>
    <n v="49540"/>
    <x v="1"/>
  </r>
  <r>
    <x v="4"/>
    <x v="37"/>
    <x v="24"/>
    <x v="50"/>
    <n v="27876"/>
    <n v="32894"/>
    <x v="1"/>
  </r>
  <r>
    <x v="0"/>
    <x v="0"/>
    <x v="3"/>
    <x v="50"/>
    <n v="17796"/>
    <n v="20999"/>
    <x v="1"/>
  </r>
  <r>
    <x v="20"/>
    <x v="49"/>
    <x v="56"/>
    <x v="50"/>
    <n v="36483"/>
    <n v="43050"/>
    <x v="1"/>
  </r>
  <r>
    <x v="24"/>
    <x v="36"/>
    <x v="63"/>
    <x v="50"/>
    <n v="22721.599999999999"/>
    <n v="26812"/>
    <x v="1"/>
  </r>
  <r>
    <x v="26"/>
    <x v="26"/>
    <x v="71"/>
    <x v="50"/>
    <n v="41949.16"/>
    <n v="49500"/>
    <x v="1"/>
  </r>
  <r>
    <x v="32"/>
    <x v="50"/>
    <x v="80"/>
    <x v="51"/>
    <n v="18740"/>
    <n v="22113"/>
    <x v="1"/>
  </r>
  <r>
    <x v="26"/>
    <x v="26"/>
    <x v="86"/>
    <x v="51"/>
    <n v="41186.44"/>
    <n v="48600"/>
    <x v="1"/>
  </r>
  <r>
    <x v="16"/>
    <x v="42"/>
    <x v="49"/>
    <x v="52"/>
    <n v="31044.9"/>
    <n v="36633"/>
    <x v="1"/>
  </r>
  <r>
    <x v="21"/>
    <x v="51"/>
    <x v="87"/>
    <x v="52"/>
    <n v="12125"/>
    <n v="14308"/>
    <x v="1"/>
  </r>
  <r>
    <x v="8"/>
    <x v="8"/>
    <x v="36"/>
    <x v="52"/>
    <n v="5035.2"/>
    <n v="5942"/>
    <x v="1"/>
  </r>
  <r>
    <x v="28"/>
    <x v="28"/>
    <x v="74"/>
    <x v="52"/>
    <n v="7796.6"/>
    <n v="9200"/>
    <x v="1"/>
  </r>
  <r>
    <x v="0"/>
    <x v="0"/>
    <x v="4"/>
    <x v="52"/>
    <n v="3804.7"/>
    <n v="4490"/>
    <x v="1"/>
  </r>
  <r>
    <x v="35"/>
    <x v="52"/>
    <x v="10"/>
    <x v="53"/>
    <n v="112547.5"/>
    <n v="132806"/>
    <x v="1"/>
  </r>
  <r>
    <x v="24"/>
    <x v="36"/>
    <x v="64"/>
    <x v="53"/>
    <n v="33994.400000000001"/>
    <n v="40113"/>
    <x v="1"/>
  </r>
  <r>
    <x v="12"/>
    <x v="53"/>
    <x v="44"/>
    <x v="54"/>
    <n v="7860"/>
    <n v="9275"/>
    <x v="1"/>
  </r>
  <r>
    <x v="5"/>
    <x v="54"/>
    <x v="88"/>
    <x v="54"/>
    <n v="37169.440000000002"/>
    <n v="43860"/>
    <x v="1"/>
  </r>
  <r>
    <x v="7"/>
    <x v="7"/>
    <x v="35"/>
    <x v="55"/>
    <n v="99725.2"/>
    <n v="117675.74"/>
    <x v="1"/>
  </r>
  <r>
    <x v="20"/>
    <x v="49"/>
    <x v="55"/>
    <x v="55"/>
    <n v="38500.800000000003"/>
    <n v="45431"/>
    <x v="1"/>
  </r>
  <r>
    <x v="17"/>
    <x v="17"/>
    <x v="52"/>
    <x v="55"/>
    <n v="4000"/>
    <n v="4720"/>
    <x v="1"/>
  </r>
  <r>
    <x v="0"/>
    <x v="0"/>
    <x v="5"/>
    <x v="55"/>
    <n v="40673.800000000003"/>
    <n v="47995"/>
    <x v="1"/>
  </r>
  <r>
    <x v="36"/>
    <x v="55"/>
    <x v="89"/>
    <x v="55"/>
    <n v="855.93"/>
    <n v="10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53626-8B04-48F6-8735-6449F8521ED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25" firstHeaderRow="1" firstDataRow="2" firstDataCol="1"/>
  <pivotFields count="7">
    <pivotField axis="axisRow" showAll="0">
      <items count="38">
        <item x="7"/>
        <item x="6"/>
        <item x="24"/>
        <item x="10"/>
        <item x="28"/>
        <item x="12"/>
        <item x="29"/>
        <item x="14"/>
        <item x="31"/>
        <item x="0"/>
        <item x="18"/>
        <item x="16"/>
        <item x="20"/>
        <item x="11"/>
        <item x="17"/>
        <item x="4"/>
        <item x="1"/>
        <item x="3"/>
        <item x="5"/>
        <item x="9"/>
        <item x="35"/>
        <item x="25"/>
        <item x="13"/>
        <item x="27"/>
        <item x="32"/>
        <item x="26"/>
        <item x="36"/>
        <item x="2"/>
        <item x="30"/>
        <item x="23"/>
        <item x="22"/>
        <item x="33"/>
        <item x="21"/>
        <item x="8"/>
        <item x="15"/>
        <item x="19"/>
        <item x="34"/>
        <item t="default"/>
      </items>
    </pivotField>
    <pivotField axis="axisRow" showAll="0">
      <items count="57">
        <item x="2"/>
        <item x="43"/>
        <item x="38"/>
        <item x="14"/>
        <item x="50"/>
        <item x="0"/>
        <item x="11"/>
        <item x="23"/>
        <item x="47"/>
        <item x="46"/>
        <item x="55"/>
        <item x="52"/>
        <item x="40"/>
        <item x="15"/>
        <item x="44"/>
        <item x="42"/>
        <item x="18"/>
        <item x="32"/>
        <item x="8"/>
        <item x="33"/>
        <item x="25"/>
        <item x="3"/>
        <item x="29"/>
        <item x="16"/>
        <item x="21"/>
        <item x="22"/>
        <item x="13"/>
        <item x="17"/>
        <item x="4"/>
        <item x="1"/>
        <item x="12"/>
        <item x="31"/>
        <item x="20"/>
        <item x="5"/>
        <item x="30"/>
        <item x="9"/>
        <item x="51"/>
        <item x="10"/>
        <item x="39"/>
        <item x="28"/>
        <item x="48"/>
        <item x="41"/>
        <item x="36"/>
        <item x="24"/>
        <item x="35"/>
        <item x="19"/>
        <item x="6"/>
        <item x="7"/>
        <item x="37"/>
        <item x="53"/>
        <item x="45"/>
        <item x="49"/>
        <item x="54"/>
        <item x="34"/>
        <item x="26"/>
        <item x="27"/>
        <item t="default"/>
      </items>
    </pivotField>
    <pivotField axis="axisRow" showAll="0">
      <items count="91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65"/>
        <item x="81"/>
        <item x="80"/>
        <item x="44"/>
        <item x="66"/>
        <item x="67"/>
        <item x="68"/>
        <item x="69"/>
        <item x="70"/>
        <item x="71"/>
        <item x="72"/>
        <item x="57"/>
        <item x="53"/>
        <item x="6"/>
        <item x="7"/>
        <item x="87"/>
        <item x="8"/>
        <item x="86"/>
        <item x="9"/>
        <item x="37"/>
        <item x="38"/>
        <item x="39"/>
        <item x="50"/>
        <item x="51"/>
        <item x="52"/>
        <item x="58"/>
        <item x="54"/>
        <item x="40"/>
        <item x="41"/>
        <item x="42"/>
        <item x="60"/>
        <item x="61"/>
        <item x="62"/>
        <item x="63"/>
        <item x="64"/>
        <item x="32"/>
        <item x="48"/>
        <item x="49"/>
        <item x="46"/>
        <item x="84"/>
        <item x="83"/>
        <item x="73"/>
        <item x="82"/>
        <item x="0"/>
        <item x="1"/>
        <item x="2"/>
        <item x="3"/>
        <item x="4"/>
        <item x="5"/>
        <item x="43"/>
        <item x="85"/>
        <item x="34"/>
        <item x="55"/>
        <item x="56"/>
        <item x="59"/>
        <item x="36"/>
        <item x="78"/>
        <item x="79"/>
        <item x="10"/>
        <item x="47"/>
        <item x="75"/>
        <item x="45"/>
        <item x="74"/>
        <item x="76"/>
        <item x="77"/>
        <item x="88"/>
        <item x="33"/>
        <item x="35"/>
        <item x="89"/>
        <item t="default"/>
      </items>
    </pivotField>
    <pivotField showAll="0"/>
    <pivotField showAll="0"/>
    <pivotField dataField="1" showAll="0"/>
    <pivotField axis="axisCol" showAll="0">
      <items count="3">
        <item x="0"/>
        <item x="1"/>
        <item t="default"/>
      </items>
    </pivotField>
  </pivotFields>
  <rowFields count="3">
    <field x="0"/>
    <field x="1"/>
    <field x="2"/>
  </rowFields>
  <rowItems count="221">
    <i>
      <x/>
    </i>
    <i r="1">
      <x v="47"/>
    </i>
    <i r="2">
      <x v="88"/>
    </i>
    <i>
      <x v="1"/>
    </i>
    <i r="1">
      <x v="46"/>
    </i>
    <i r="2">
      <x v="72"/>
    </i>
    <i>
      <x v="2"/>
    </i>
    <i r="1">
      <x v="42"/>
    </i>
    <i r="2">
      <x v="51"/>
    </i>
    <i r="2">
      <x v="52"/>
    </i>
    <i r="2">
      <x v="53"/>
    </i>
    <i r="2">
      <x v="54"/>
    </i>
    <i r="2">
      <x v="55"/>
    </i>
    <i r="1">
      <x v="43"/>
    </i>
    <i r="2">
      <x v="51"/>
    </i>
    <i r="2">
      <x v="52"/>
    </i>
    <i r="2">
      <x v="53"/>
    </i>
    <i r="2">
      <x v="54"/>
    </i>
    <i r="2">
      <x v="55"/>
    </i>
    <i>
      <x v="3"/>
    </i>
    <i r="1">
      <x v="37"/>
    </i>
    <i r="2">
      <x v="48"/>
    </i>
    <i r="2">
      <x v="49"/>
    </i>
    <i r="2">
      <x v="50"/>
    </i>
    <i r="1">
      <x v="38"/>
    </i>
    <i r="2">
      <x v="49"/>
    </i>
    <i r="2">
      <x v="50"/>
    </i>
    <i>
      <x v="4"/>
    </i>
    <i r="1">
      <x v="39"/>
    </i>
    <i r="2">
      <x v="83"/>
    </i>
    <i>
      <x v="5"/>
    </i>
    <i r="1">
      <x v="30"/>
    </i>
    <i r="2">
      <x v="24"/>
    </i>
    <i r="1">
      <x v="49"/>
    </i>
    <i r="2">
      <x v="24"/>
    </i>
    <i>
      <x v="6"/>
    </i>
    <i r="1">
      <x v="14"/>
    </i>
    <i r="2">
      <x v="81"/>
    </i>
    <i r="1">
      <x v="22"/>
    </i>
    <i r="2">
      <x v="81"/>
    </i>
    <i>
      <x v="7"/>
    </i>
    <i r="1">
      <x v="2"/>
    </i>
    <i r="2">
      <x v="60"/>
    </i>
    <i r="2">
      <x v="61"/>
    </i>
    <i r="1">
      <x v="3"/>
    </i>
    <i r="2">
      <x v="59"/>
    </i>
    <i>
      <x v="8"/>
    </i>
    <i r="1">
      <x v="31"/>
    </i>
    <i r="2">
      <x v="77"/>
    </i>
    <i r="2">
      <x v="78"/>
    </i>
    <i r="1">
      <x v="50"/>
    </i>
    <i r="2">
      <x v="71"/>
    </i>
    <i r="2">
      <x v="77"/>
    </i>
    <i r="2">
      <x v="78"/>
    </i>
    <i>
      <x v="9"/>
    </i>
    <i r="1">
      <x v="5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>
      <x v="10"/>
    </i>
    <i r="1">
      <x v="16"/>
    </i>
    <i r="2">
      <x v="33"/>
    </i>
    <i>
      <x v="11"/>
    </i>
    <i r="1">
      <x v="15"/>
    </i>
    <i r="2">
      <x v="57"/>
    </i>
    <i r="2">
      <x v="58"/>
    </i>
    <i r="1">
      <x v="23"/>
    </i>
    <i r="2">
      <x v="57"/>
    </i>
    <i r="2">
      <x v="58"/>
    </i>
    <i>
      <x v="12"/>
    </i>
    <i r="1">
      <x v="32"/>
    </i>
    <i r="2">
      <x v="73"/>
    </i>
    <i r="2">
      <x v="74"/>
    </i>
    <i r="1">
      <x v="51"/>
    </i>
    <i r="2">
      <x v="73"/>
    </i>
    <i r="2">
      <x v="74"/>
    </i>
    <i>
      <x v="13"/>
    </i>
    <i r="1">
      <x v="6"/>
    </i>
    <i r="2">
      <x v="70"/>
    </i>
    <i>
      <x v="14"/>
    </i>
    <i r="1">
      <x v="27"/>
    </i>
    <i r="2">
      <x v="43"/>
    </i>
    <i r="2">
      <x v="44"/>
    </i>
    <i r="2">
      <x v="45"/>
    </i>
    <i>
      <x v="15"/>
    </i>
    <i r="1">
      <x v="28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56"/>
    </i>
    <i r="1">
      <x v="48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11"/>
    </i>
    <i r="2">
      <x v="13"/>
    </i>
    <i>
      <x v="16"/>
    </i>
    <i r="1">
      <x v="29"/>
    </i>
    <i r="2">
      <x v="34"/>
    </i>
    <i r="2">
      <x v="35"/>
    </i>
    <i r="2">
      <x v="37"/>
    </i>
    <i>
      <x v="17"/>
    </i>
    <i r="1">
      <x v="21"/>
    </i>
    <i r="2">
      <x v="79"/>
    </i>
    <i>
      <x v="18"/>
    </i>
    <i r="1">
      <x v="33"/>
    </i>
    <i r="2">
      <x v="87"/>
    </i>
    <i r="1">
      <x v="52"/>
    </i>
    <i r="2">
      <x v="86"/>
    </i>
    <i>
      <x v="19"/>
    </i>
    <i r="1">
      <x v="35"/>
    </i>
    <i r="2">
      <x v="40"/>
    </i>
    <i r="2">
      <x v="41"/>
    </i>
    <i r="2">
      <x v="42"/>
    </i>
    <i>
      <x v="20"/>
    </i>
    <i r="1">
      <x v="11"/>
    </i>
    <i r="2">
      <x v="79"/>
    </i>
    <i>
      <x v="21"/>
    </i>
    <i r="1">
      <x v="8"/>
    </i>
    <i r="2">
      <x v="21"/>
    </i>
    <i r="1">
      <x v="20"/>
    </i>
    <i r="2">
      <x v="21"/>
    </i>
    <i>
      <x v="22"/>
    </i>
    <i r="1">
      <x v="26"/>
    </i>
    <i r="2">
      <x v="82"/>
    </i>
    <i r="1">
      <x v="41"/>
    </i>
    <i r="2">
      <x v="82"/>
    </i>
    <i>
      <x v="23"/>
    </i>
    <i r="1">
      <x v="55"/>
    </i>
    <i r="2">
      <x v="62"/>
    </i>
    <i>
      <x v="24"/>
    </i>
    <i r="1">
      <x v="4"/>
    </i>
    <i r="2">
      <x v="23"/>
    </i>
    <i r="1">
      <x v="17"/>
    </i>
    <i r="2">
      <x v="23"/>
    </i>
    <i>
      <x v="25"/>
    </i>
    <i r="1">
      <x v="5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8"/>
    </i>
    <i>
      <x v="26"/>
    </i>
    <i r="1">
      <x v="10"/>
    </i>
    <i r="2">
      <x v="89"/>
    </i>
    <i>
      <x v="27"/>
    </i>
    <i r="1">
      <x/>
    </i>
    <i r="2">
      <x v="39"/>
    </i>
    <i r="1">
      <x v="1"/>
    </i>
    <i r="2">
      <x v="39"/>
    </i>
    <i>
      <x v="28"/>
    </i>
    <i r="1">
      <x v="34"/>
    </i>
    <i r="2">
      <x v="84"/>
    </i>
    <i r="2">
      <x v="85"/>
    </i>
    <i r="1">
      <x v="53"/>
    </i>
    <i r="2">
      <x v="84"/>
    </i>
    <i r="2">
      <x v="85"/>
    </i>
    <i>
      <x v="29"/>
    </i>
    <i r="1">
      <x v="7"/>
    </i>
    <i r="2">
      <x v="75"/>
    </i>
    <i>
      <x v="30"/>
    </i>
    <i r="1">
      <x v="25"/>
    </i>
    <i r="2">
      <x v="46"/>
    </i>
    <i r="1">
      <x v="40"/>
    </i>
    <i r="2">
      <x v="46"/>
    </i>
    <i>
      <x v="31"/>
    </i>
    <i r="1">
      <x v="9"/>
    </i>
    <i r="2">
      <x v="22"/>
    </i>
    <i r="1">
      <x v="19"/>
    </i>
    <i r="2">
      <x v="22"/>
    </i>
    <i>
      <x v="32"/>
    </i>
    <i r="1">
      <x v="24"/>
    </i>
    <i r="2">
      <x v="32"/>
    </i>
    <i r="1">
      <x v="36"/>
    </i>
    <i r="2">
      <x v="36"/>
    </i>
    <i>
      <x v="33"/>
    </i>
    <i r="1">
      <x v="18"/>
    </i>
    <i r="2">
      <x v="76"/>
    </i>
    <i>
      <x v="34"/>
    </i>
    <i r="1">
      <x v="12"/>
    </i>
    <i r="2">
      <x v="80"/>
    </i>
    <i r="1">
      <x v="13"/>
    </i>
    <i r="2">
      <x v="80"/>
    </i>
    <i>
      <x v="35"/>
    </i>
    <i r="1">
      <x v="44"/>
    </i>
    <i r="2">
      <x v="47"/>
    </i>
    <i r="1">
      <x v="45"/>
    </i>
    <i r="2">
      <x v="47"/>
    </i>
    <i>
      <x v="36"/>
    </i>
    <i r="1">
      <x v="46"/>
    </i>
    <i r="2">
      <x v="7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Gross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7F087-59B1-497D-A5CB-98C5326F3AC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56" firstHeaderRow="1" firstDataRow="2" firstDataCol="1"/>
  <pivotFields count="7">
    <pivotField axis="axisRow" showAll="0">
      <items count="38">
        <item x="7"/>
        <item x="6"/>
        <item x="24"/>
        <item x="10"/>
        <item x="28"/>
        <item x="12"/>
        <item x="29"/>
        <item x="14"/>
        <item x="31"/>
        <item x="0"/>
        <item x="18"/>
        <item x="16"/>
        <item x="20"/>
        <item x="11"/>
        <item x="17"/>
        <item x="4"/>
        <item x="1"/>
        <item x="3"/>
        <item x="5"/>
        <item x="9"/>
        <item x="35"/>
        <item x="25"/>
        <item x="13"/>
        <item x="27"/>
        <item x="32"/>
        <item x="26"/>
        <item x="36"/>
        <item x="2"/>
        <item x="30"/>
        <item x="23"/>
        <item x="22"/>
        <item x="33"/>
        <item x="21"/>
        <item x="8"/>
        <item x="15"/>
        <item x="19"/>
        <item x="34"/>
        <item t="default"/>
      </items>
    </pivotField>
    <pivotField axis="axisRow" showAll="0">
      <items count="57">
        <item x="2"/>
        <item x="43"/>
        <item x="38"/>
        <item x="14"/>
        <item x="50"/>
        <item x="0"/>
        <item x="11"/>
        <item x="23"/>
        <item x="47"/>
        <item x="46"/>
        <item x="55"/>
        <item x="52"/>
        <item x="40"/>
        <item x="15"/>
        <item x="44"/>
        <item x="42"/>
        <item x="18"/>
        <item x="32"/>
        <item x="8"/>
        <item x="33"/>
        <item x="25"/>
        <item x="3"/>
        <item x="29"/>
        <item x="16"/>
        <item x="21"/>
        <item x="22"/>
        <item x="13"/>
        <item x="17"/>
        <item x="4"/>
        <item x="1"/>
        <item x="12"/>
        <item x="31"/>
        <item x="20"/>
        <item x="5"/>
        <item x="30"/>
        <item x="9"/>
        <item x="51"/>
        <item x="10"/>
        <item x="39"/>
        <item x="28"/>
        <item x="48"/>
        <item x="41"/>
        <item x="36"/>
        <item x="24"/>
        <item x="35"/>
        <item x="19"/>
        <item x="6"/>
        <item x="7"/>
        <item x="37"/>
        <item x="53"/>
        <item x="45"/>
        <item x="49"/>
        <item x="54"/>
        <item x="34"/>
        <item x="26"/>
        <item x="27"/>
        <item t="default"/>
      </items>
    </pivotField>
    <pivotField axis="axisRow" showAll="0">
      <items count="91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65"/>
        <item x="81"/>
        <item x="80"/>
        <item x="44"/>
        <item x="66"/>
        <item x="67"/>
        <item x="68"/>
        <item x="69"/>
        <item x="70"/>
        <item x="71"/>
        <item x="72"/>
        <item x="57"/>
        <item x="53"/>
        <item x="6"/>
        <item x="7"/>
        <item x="87"/>
        <item x="8"/>
        <item x="86"/>
        <item x="9"/>
        <item x="37"/>
        <item x="38"/>
        <item x="39"/>
        <item x="50"/>
        <item x="51"/>
        <item x="52"/>
        <item x="58"/>
        <item x="54"/>
        <item x="40"/>
        <item x="41"/>
        <item x="42"/>
        <item x="60"/>
        <item x="61"/>
        <item x="62"/>
        <item x="63"/>
        <item x="64"/>
        <item x="32"/>
        <item x="48"/>
        <item x="49"/>
        <item x="46"/>
        <item x="84"/>
        <item x="83"/>
        <item x="73"/>
        <item x="82"/>
        <item x="0"/>
        <item x="1"/>
        <item x="2"/>
        <item x="3"/>
        <item x="4"/>
        <item x="5"/>
        <item x="43"/>
        <item x="85"/>
        <item x="34"/>
        <item x="55"/>
        <item x="56"/>
        <item x="59"/>
        <item x="36"/>
        <item x="78"/>
        <item x="79"/>
        <item x="10"/>
        <item x="47"/>
        <item x="75"/>
        <item x="45"/>
        <item x="74"/>
        <item x="76"/>
        <item x="77"/>
        <item x="88"/>
        <item x="33"/>
        <item x="35"/>
        <item x="89"/>
        <item t="default"/>
      </items>
    </pivotField>
    <pivotField axis="axisRow" showAll="0">
      <items count="57">
        <item x="27"/>
        <item x="29"/>
        <item x="11"/>
        <item x="12"/>
        <item x="0"/>
        <item x="23"/>
        <item x="1"/>
        <item x="13"/>
        <item x="14"/>
        <item x="6"/>
        <item x="8"/>
        <item x="30"/>
        <item x="26"/>
        <item x="15"/>
        <item x="7"/>
        <item x="16"/>
        <item x="9"/>
        <item x="25"/>
        <item x="2"/>
        <item x="17"/>
        <item x="18"/>
        <item x="19"/>
        <item x="31"/>
        <item x="3"/>
        <item x="28"/>
        <item x="20"/>
        <item x="4"/>
        <item x="10"/>
        <item x="21"/>
        <item x="22"/>
        <item x="5"/>
        <item x="24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showAll="0"/>
    <pivotField dataField="1" showAll="0"/>
    <pivotField axis="axisCol" showAll="0">
      <items count="3">
        <item x="0"/>
        <item x="1"/>
        <item t="default"/>
      </items>
    </pivotField>
  </pivotFields>
  <rowFields count="4">
    <field x="0"/>
    <field x="3"/>
    <field x="1"/>
    <field x="2"/>
  </rowFields>
  <rowItems count="452">
    <i>
      <x/>
    </i>
    <i r="1">
      <x v="30"/>
    </i>
    <i r="2">
      <x v="47"/>
    </i>
    <i r="3">
      <x v="88"/>
    </i>
    <i r="1">
      <x v="55"/>
    </i>
    <i r="2">
      <x v="47"/>
    </i>
    <i r="3">
      <x v="88"/>
    </i>
    <i>
      <x v="1"/>
    </i>
    <i r="1">
      <x v="5"/>
    </i>
    <i r="2">
      <x v="46"/>
    </i>
    <i r="3">
      <x v="72"/>
    </i>
    <i>
      <x v="2"/>
    </i>
    <i r="1">
      <x v="1"/>
    </i>
    <i r="2">
      <x v="43"/>
    </i>
    <i r="3">
      <x v="51"/>
    </i>
    <i r="1">
      <x v="11"/>
    </i>
    <i r="2">
      <x v="43"/>
    </i>
    <i r="3">
      <x v="52"/>
    </i>
    <i r="1">
      <x v="17"/>
    </i>
    <i r="2">
      <x v="43"/>
    </i>
    <i r="3">
      <x v="53"/>
    </i>
    <i r="1">
      <x v="23"/>
    </i>
    <i r="2">
      <x v="43"/>
    </i>
    <i r="3">
      <x v="54"/>
    </i>
    <i r="1">
      <x v="27"/>
    </i>
    <i r="2">
      <x v="43"/>
    </i>
    <i r="3">
      <x v="55"/>
    </i>
    <i r="1">
      <x v="33"/>
    </i>
    <i r="2">
      <x v="42"/>
    </i>
    <i r="3">
      <x v="51"/>
    </i>
    <i r="1">
      <x v="41"/>
    </i>
    <i r="2">
      <x v="42"/>
    </i>
    <i r="3">
      <x v="52"/>
    </i>
    <i r="1">
      <x v="45"/>
    </i>
    <i r="2">
      <x v="42"/>
    </i>
    <i r="3">
      <x v="53"/>
    </i>
    <i r="1">
      <x v="50"/>
    </i>
    <i r="2">
      <x v="42"/>
    </i>
    <i r="3">
      <x v="54"/>
    </i>
    <i r="1">
      <x v="53"/>
    </i>
    <i r="2">
      <x v="42"/>
    </i>
    <i r="3">
      <x v="55"/>
    </i>
    <i>
      <x v="3"/>
    </i>
    <i r="1">
      <x v="5"/>
    </i>
    <i r="2">
      <x v="37"/>
    </i>
    <i r="3">
      <x v="48"/>
    </i>
    <i r="1">
      <x v="13"/>
    </i>
    <i r="2">
      <x v="37"/>
    </i>
    <i r="3">
      <x v="49"/>
    </i>
    <i r="1">
      <x v="17"/>
    </i>
    <i r="2">
      <x v="37"/>
    </i>
    <i r="3">
      <x v="50"/>
    </i>
    <i r="1">
      <x v="42"/>
    </i>
    <i r="2">
      <x v="38"/>
    </i>
    <i r="3">
      <x v="49"/>
    </i>
    <i r="1">
      <x v="45"/>
    </i>
    <i r="2">
      <x v="38"/>
    </i>
    <i r="3">
      <x v="50"/>
    </i>
    <i>
      <x v="4"/>
    </i>
    <i r="1">
      <x v="26"/>
    </i>
    <i r="2">
      <x v="39"/>
    </i>
    <i r="3">
      <x v="83"/>
    </i>
    <i r="1">
      <x v="52"/>
    </i>
    <i r="2">
      <x v="39"/>
    </i>
    <i r="3">
      <x v="83"/>
    </i>
    <i>
      <x v="5"/>
    </i>
    <i r="1">
      <x v="28"/>
    </i>
    <i r="2">
      <x v="30"/>
    </i>
    <i r="3">
      <x v="24"/>
    </i>
    <i r="1">
      <x v="54"/>
    </i>
    <i r="2">
      <x v="49"/>
    </i>
    <i r="3">
      <x v="24"/>
    </i>
    <i>
      <x v="6"/>
    </i>
    <i r="1">
      <x v="16"/>
    </i>
    <i r="2">
      <x v="22"/>
    </i>
    <i r="3">
      <x v="81"/>
    </i>
    <i r="1">
      <x v="44"/>
    </i>
    <i r="2">
      <x v="14"/>
    </i>
    <i r="3">
      <x v="81"/>
    </i>
    <i>
      <x v="7"/>
    </i>
    <i r="1">
      <x v="7"/>
    </i>
    <i r="2">
      <x v="3"/>
    </i>
    <i r="3">
      <x v="59"/>
    </i>
    <i r="1">
      <x v="39"/>
    </i>
    <i r="2">
      <x v="2"/>
    </i>
    <i r="3">
      <x v="60"/>
    </i>
    <i r="3">
      <x v="61"/>
    </i>
    <i>
      <x v="8"/>
    </i>
    <i r="1">
      <x v="17"/>
    </i>
    <i r="2">
      <x v="31"/>
    </i>
    <i r="3">
      <x v="77"/>
    </i>
    <i r="1">
      <x v="22"/>
    </i>
    <i r="2">
      <x v="31"/>
    </i>
    <i r="3">
      <x v="78"/>
    </i>
    <i r="1">
      <x v="45"/>
    </i>
    <i r="2">
      <x v="50"/>
    </i>
    <i r="3">
      <x v="71"/>
    </i>
    <i r="3">
      <x v="77"/>
    </i>
    <i r="1">
      <x v="49"/>
    </i>
    <i r="2">
      <x v="50"/>
    </i>
    <i r="3">
      <x v="78"/>
    </i>
    <i>
      <x v="9"/>
    </i>
    <i r="1">
      <x v="4"/>
    </i>
    <i r="2">
      <x v="5"/>
    </i>
    <i r="3">
      <x v="64"/>
    </i>
    <i r="1">
      <x v="6"/>
    </i>
    <i r="2">
      <x v="5"/>
    </i>
    <i r="3">
      <x v="65"/>
    </i>
    <i r="1">
      <x v="18"/>
    </i>
    <i r="2">
      <x v="5"/>
    </i>
    <i r="3">
      <x v="66"/>
    </i>
    <i r="1">
      <x v="23"/>
    </i>
    <i r="2">
      <x v="5"/>
    </i>
    <i r="3">
      <x v="67"/>
    </i>
    <i r="1">
      <x v="26"/>
    </i>
    <i r="2">
      <x v="5"/>
    </i>
    <i r="3">
      <x v="68"/>
    </i>
    <i r="1">
      <x v="30"/>
    </i>
    <i r="2">
      <x v="5"/>
    </i>
    <i r="3">
      <x v="69"/>
    </i>
    <i r="1">
      <x v="36"/>
    </i>
    <i r="2">
      <x v="5"/>
    </i>
    <i r="3">
      <x v="64"/>
    </i>
    <i r="1">
      <x v="38"/>
    </i>
    <i r="2">
      <x v="5"/>
    </i>
    <i r="3">
      <x v="63"/>
    </i>
    <i r="1">
      <x v="46"/>
    </i>
    <i r="2">
      <x v="5"/>
    </i>
    <i r="3">
      <x v="66"/>
    </i>
    <i r="1">
      <x v="50"/>
    </i>
    <i r="2">
      <x v="5"/>
    </i>
    <i r="3">
      <x v="67"/>
    </i>
    <i r="1">
      <x v="52"/>
    </i>
    <i r="2">
      <x v="5"/>
    </i>
    <i r="3">
      <x v="68"/>
    </i>
    <i r="1">
      <x v="55"/>
    </i>
    <i r="2">
      <x v="5"/>
    </i>
    <i r="3">
      <x v="69"/>
    </i>
    <i>
      <x v="10"/>
    </i>
    <i r="1">
      <x v="2"/>
    </i>
    <i r="2">
      <x v="16"/>
    </i>
    <i r="3">
      <x v="33"/>
    </i>
    <i r="1">
      <x v="34"/>
    </i>
    <i r="2">
      <x v="16"/>
    </i>
    <i r="3">
      <x v="33"/>
    </i>
    <i>
      <x v="11"/>
    </i>
    <i r="1">
      <x v="15"/>
    </i>
    <i r="2">
      <x v="23"/>
    </i>
    <i r="3">
      <x v="57"/>
    </i>
    <i r="1">
      <x v="26"/>
    </i>
    <i r="2">
      <x v="23"/>
    </i>
    <i r="3">
      <x v="58"/>
    </i>
    <i r="1">
      <x v="43"/>
    </i>
    <i r="2">
      <x v="15"/>
    </i>
    <i r="3">
      <x v="57"/>
    </i>
    <i r="1">
      <x v="52"/>
    </i>
    <i r="2">
      <x v="15"/>
    </i>
    <i r="3">
      <x v="58"/>
    </i>
    <i>
      <x v="12"/>
    </i>
    <i r="1">
      <x v="23"/>
    </i>
    <i r="2">
      <x v="32"/>
    </i>
    <i r="3">
      <x v="74"/>
    </i>
    <i r="1">
      <x v="30"/>
    </i>
    <i r="2">
      <x v="32"/>
    </i>
    <i r="3">
      <x v="73"/>
    </i>
    <i r="1">
      <x v="50"/>
    </i>
    <i r="2">
      <x v="51"/>
    </i>
    <i r="3">
      <x v="74"/>
    </i>
    <i r="1">
      <x v="55"/>
    </i>
    <i r="2">
      <x v="51"/>
    </i>
    <i r="3">
      <x v="73"/>
    </i>
    <i>
      <x v="13"/>
    </i>
    <i r="1">
      <x v="12"/>
    </i>
    <i r="2">
      <x v="6"/>
    </i>
    <i r="3">
      <x v="70"/>
    </i>
    <i>
      <x v="14"/>
    </i>
    <i r="1">
      <x/>
    </i>
    <i r="2">
      <x v="27"/>
    </i>
    <i r="3">
      <x v="43"/>
    </i>
    <i r="1">
      <x v="24"/>
    </i>
    <i r="2">
      <x v="27"/>
    </i>
    <i r="3">
      <x v="44"/>
    </i>
    <i r="1">
      <x v="30"/>
    </i>
    <i r="2">
      <x v="27"/>
    </i>
    <i r="3">
      <x v="45"/>
    </i>
    <i r="1">
      <x v="55"/>
    </i>
    <i r="2">
      <x v="27"/>
    </i>
    <i r="3">
      <x v="45"/>
    </i>
    <i>
      <x v="15"/>
    </i>
    <i r="1">
      <x v="2"/>
    </i>
    <i r="2">
      <x v="28"/>
    </i>
    <i r="3">
      <x/>
    </i>
    <i r="1">
      <x v="3"/>
    </i>
    <i r="2">
      <x v="28"/>
    </i>
    <i r="3">
      <x v="1"/>
    </i>
    <i r="1">
      <x v="6"/>
    </i>
    <i r="2">
      <x v="28"/>
    </i>
    <i r="3">
      <x v="2"/>
    </i>
    <i r="3">
      <x v="3"/>
    </i>
    <i r="1">
      <x v="7"/>
    </i>
    <i r="2">
      <x v="28"/>
    </i>
    <i r="3">
      <x v="4"/>
    </i>
    <i r="1">
      <x v="8"/>
    </i>
    <i r="2">
      <x v="28"/>
    </i>
    <i r="3">
      <x v="5"/>
    </i>
    <i r="1">
      <x v="13"/>
    </i>
    <i r="2">
      <x v="28"/>
    </i>
    <i r="3">
      <x v="6"/>
    </i>
    <i r="1">
      <x v="15"/>
    </i>
    <i r="2">
      <x v="28"/>
    </i>
    <i r="3">
      <x v="7"/>
    </i>
    <i r="3">
      <x v="8"/>
    </i>
    <i r="1">
      <x v="19"/>
    </i>
    <i r="2">
      <x v="28"/>
    </i>
    <i r="3">
      <x v="9"/>
    </i>
    <i r="3">
      <x v="10"/>
    </i>
    <i r="1">
      <x v="20"/>
    </i>
    <i r="2">
      <x v="28"/>
    </i>
    <i r="3">
      <x v="11"/>
    </i>
    <i r="1">
      <x v="21"/>
    </i>
    <i r="2">
      <x v="28"/>
    </i>
    <i r="3">
      <x v="12"/>
    </i>
    <i r="1">
      <x v="23"/>
    </i>
    <i r="2">
      <x v="28"/>
    </i>
    <i r="3">
      <x v="13"/>
    </i>
    <i r="3">
      <x v="14"/>
    </i>
    <i r="1">
      <x v="25"/>
    </i>
    <i r="2">
      <x v="28"/>
    </i>
    <i r="3">
      <x v="15"/>
    </i>
    <i r="1">
      <x v="26"/>
    </i>
    <i r="2">
      <x v="28"/>
    </i>
    <i r="3">
      <x v="56"/>
    </i>
    <i r="1">
      <x v="28"/>
    </i>
    <i r="2">
      <x v="28"/>
    </i>
    <i r="3">
      <x v="16"/>
    </i>
    <i r="1">
      <x v="29"/>
    </i>
    <i r="2">
      <x v="28"/>
    </i>
    <i r="3">
      <x v="17"/>
    </i>
    <i r="3">
      <x v="18"/>
    </i>
    <i r="1">
      <x v="30"/>
    </i>
    <i r="2">
      <x v="28"/>
    </i>
    <i r="3">
      <x v="19"/>
    </i>
    <i r="3">
      <x v="20"/>
    </i>
    <i r="1">
      <x v="35"/>
    </i>
    <i r="2">
      <x v="48"/>
    </i>
    <i r="3">
      <x v="1"/>
    </i>
    <i r="1">
      <x v="38"/>
    </i>
    <i r="2">
      <x v="48"/>
    </i>
    <i r="3">
      <x v="2"/>
    </i>
    <i r="3">
      <x v="3"/>
    </i>
    <i r="1">
      <x v="39"/>
    </i>
    <i r="2">
      <x v="48"/>
    </i>
    <i r="3">
      <x v="4"/>
    </i>
    <i r="1">
      <x v="40"/>
    </i>
    <i r="2">
      <x v="48"/>
    </i>
    <i r="3">
      <x v="5"/>
    </i>
    <i r="1">
      <x v="42"/>
    </i>
    <i r="2">
      <x v="48"/>
    </i>
    <i r="3">
      <x v="6"/>
    </i>
    <i r="1">
      <x v="43"/>
    </i>
    <i r="2">
      <x v="48"/>
    </i>
    <i r="3">
      <x v="7"/>
    </i>
    <i r="1">
      <x v="48"/>
    </i>
    <i r="2">
      <x v="48"/>
    </i>
    <i r="3">
      <x v="11"/>
    </i>
    <i r="1">
      <x v="50"/>
    </i>
    <i r="2">
      <x v="48"/>
    </i>
    <i r="3">
      <x v="13"/>
    </i>
    <i>
      <x v="16"/>
    </i>
    <i r="1">
      <x v="9"/>
    </i>
    <i r="2">
      <x v="29"/>
    </i>
    <i r="3">
      <x v="34"/>
    </i>
    <i r="1">
      <x v="10"/>
    </i>
    <i r="2">
      <x v="29"/>
    </i>
    <i r="3">
      <x v="37"/>
    </i>
    <i r="1">
      <x v="14"/>
    </i>
    <i r="2">
      <x v="29"/>
    </i>
    <i r="3">
      <x v="35"/>
    </i>
    <i>
      <x v="17"/>
    </i>
    <i r="1">
      <x v="27"/>
    </i>
    <i r="2">
      <x v="21"/>
    </i>
    <i r="3">
      <x v="79"/>
    </i>
    <i>
      <x v="18"/>
    </i>
    <i r="1">
      <x v="28"/>
    </i>
    <i r="2">
      <x v="33"/>
    </i>
    <i r="3">
      <x v="87"/>
    </i>
    <i r="1">
      <x v="54"/>
    </i>
    <i r="2">
      <x v="52"/>
    </i>
    <i r="3">
      <x v="86"/>
    </i>
    <i>
      <x v="19"/>
    </i>
    <i r="1">
      <x v="8"/>
    </i>
    <i r="2">
      <x v="35"/>
    </i>
    <i r="3">
      <x v="40"/>
    </i>
    <i r="1">
      <x v="13"/>
    </i>
    <i r="2">
      <x v="35"/>
    </i>
    <i r="3">
      <x v="41"/>
    </i>
    <i r="1">
      <x v="31"/>
    </i>
    <i r="2">
      <x v="35"/>
    </i>
    <i r="3">
      <x v="42"/>
    </i>
    <i>
      <x v="20"/>
    </i>
    <i r="1">
      <x v="53"/>
    </i>
    <i r="2">
      <x v="11"/>
    </i>
    <i r="3">
      <x v="79"/>
    </i>
    <i>
      <x v="21"/>
    </i>
    <i r="1">
      <x v="20"/>
    </i>
    <i r="2">
      <x v="20"/>
    </i>
    <i r="3">
      <x v="21"/>
    </i>
    <i r="1">
      <x v="48"/>
    </i>
    <i r="2">
      <x v="8"/>
    </i>
    <i r="3">
      <x v="21"/>
    </i>
    <i>
      <x v="22"/>
    </i>
    <i r="1">
      <x v="15"/>
    </i>
    <i r="2">
      <x v="26"/>
    </i>
    <i r="3">
      <x v="82"/>
    </i>
    <i r="1">
      <x v="43"/>
    </i>
    <i r="2">
      <x v="41"/>
    </i>
    <i r="3">
      <x v="82"/>
    </i>
    <i>
      <x v="23"/>
    </i>
    <i r="1">
      <x v="11"/>
    </i>
    <i r="2">
      <x v="55"/>
    </i>
    <i r="3">
      <x v="62"/>
    </i>
    <i r="1">
      <x v="41"/>
    </i>
    <i r="2">
      <x v="55"/>
    </i>
    <i r="3">
      <x v="62"/>
    </i>
    <i>
      <x v="24"/>
    </i>
    <i r="1">
      <x v="25"/>
    </i>
    <i r="2">
      <x v="17"/>
    </i>
    <i r="3">
      <x v="23"/>
    </i>
    <i r="1">
      <x v="51"/>
    </i>
    <i r="2">
      <x v="4"/>
    </i>
    <i r="3">
      <x v="23"/>
    </i>
    <i>
      <x v="25"/>
    </i>
    <i r="1">
      <x v="3"/>
    </i>
    <i r="2">
      <x v="54"/>
    </i>
    <i r="3">
      <x v="25"/>
    </i>
    <i r="1">
      <x v="5"/>
    </i>
    <i r="2">
      <x v="54"/>
    </i>
    <i r="3">
      <x v="26"/>
    </i>
    <i r="1">
      <x v="13"/>
    </i>
    <i r="2">
      <x v="54"/>
    </i>
    <i r="3">
      <x v="27"/>
    </i>
    <i r="1">
      <x v="20"/>
    </i>
    <i r="2">
      <x v="54"/>
    </i>
    <i r="3">
      <x v="28"/>
    </i>
    <i r="1">
      <x v="22"/>
    </i>
    <i r="2">
      <x v="54"/>
    </i>
    <i r="3">
      <x v="29"/>
    </i>
    <i r="1">
      <x v="23"/>
    </i>
    <i r="2">
      <x v="54"/>
    </i>
    <i r="3">
      <x v="30"/>
    </i>
    <i r="1">
      <x v="25"/>
    </i>
    <i r="2">
      <x v="54"/>
    </i>
    <i r="3">
      <x v="31"/>
    </i>
    <i r="1">
      <x v="35"/>
    </i>
    <i r="2">
      <x v="54"/>
    </i>
    <i r="3">
      <x v="25"/>
    </i>
    <i r="1">
      <x v="37"/>
    </i>
    <i r="2">
      <x v="54"/>
    </i>
    <i r="3">
      <x v="26"/>
    </i>
    <i r="1">
      <x v="42"/>
    </i>
    <i r="2">
      <x v="54"/>
    </i>
    <i r="3">
      <x v="27"/>
    </i>
    <i r="1">
      <x v="48"/>
    </i>
    <i r="2">
      <x v="54"/>
    </i>
    <i r="3">
      <x v="28"/>
    </i>
    <i r="1">
      <x v="49"/>
    </i>
    <i r="2">
      <x v="54"/>
    </i>
    <i r="3">
      <x v="29"/>
    </i>
    <i r="1">
      <x v="50"/>
    </i>
    <i r="2">
      <x v="54"/>
    </i>
    <i r="3">
      <x v="30"/>
    </i>
    <i r="1">
      <x v="51"/>
    </i>
    <i r="2">
      <x v="54"/>
    </i>
    <i r="3">
      <x v="38"/>
    </i>
    <i>
      <x v="26"/>
    </i>
    <i r="1">
      <x v="55"/>
    </i>
    <i r="2">
      <x v="10"/>
    </i>
    <i r="3">
      <x v="89"/>
    </i>
    <i>
      <x v="27"/>
    </i>
    <i r="1">
      <x v="16"/>
    </i>
    <i r="2">
      <x/>
    </i>
    <i r="3">
      <x v="39"/>
    </i>
    <i r="1">
      <x v="44"/>
    </i>
    <i r="2">
      <x v="1"/>
    </i>
    <i r="3">
      <x v="39"/>
    </i>
    <i>
      <x v="28"/>
    </i>
    <i r="1">
      <x/>
    </i>
    <i r="2">
      <x v="34"/>
    </i>
    <i r="3">
      <x v="84"/>
    </i>
    <i r="1">
      <x v="22"/>
    </i>
    <i r="2">
      <x v="34"/>
    </i>
    <i r="3">
      <x v="85"/>
    </i>
    <i r="1">
      <x v="32"/>
    </i>
    <i r="2">
      <x v="53"/>
    </i>
    <i r="3">
      <x v="84"/>
    </i>
    <i r="1">
      <x v="49"/>
    </i>
    <i r="2">
      <x v="53"/>
    </i>
    <i r="3">
      <x v="85"/>
    </i>
    <i>
      <x v="29"/>
    </i>
    <i r="1">
      <x v="20"/>
    </i>
    <i r="2">
      <x v="7"/>
    </i>
    <i r="3">
      <x v="75"/>
    </i>
    <i r="1">
      <x v="48"/>
    </i>
    <i r="2">
      <x v="7"/>
    </i>
    <i r="3">
      <x v="75"/>
    </i>
    <i>
      <x v="30"/>
    </i>
    <i r="1">
      <x v="20"/>
    </i>
    <i r="2">
      <x v="25"/>
    </i>
    <i r="3">
      <x v="46"/>
    </i>
    <i r="1">
      <x v="48"/>
    </i>
    <i r="2">
      <x v="40"/>
    </i>
    <i r="3">
      <x v="46"/>
    </i>
    <i>
      <x v="31"/>
    </i>
    <i r="1">
      <x v="19"/>
    </i>
    <i r="2">
      <x v="19"/>
    </i>
    <i r="3">
      <x v="22"/>
    </i>
    <i r="1">
      <x v="47"/>
    </i>
    <i r="2">
      <x v="9"/>
    </i>
    <i r="3">
      <x v="22"/>
    </i>
    <i>
      <x v="32"/>
    </i>
    <i r="1">
      <x v="26"/>
    </i>
    <i r="2">
      <x v="24"/>
    </i>
    <i r="3">
      <x v="32"/>
    </i>
    <i r="1">
      <x v="52"/>
    </i>
    <i r="2">
      <x v="36"/>
    </i>
    <i r="3">
      <x v="36"/>
    </i>
    <i>
      <x v="33"/>
    </i>
    <i r="1">
      <x v="26"/>
    </i>
    <i r="2">
      <x v="18"/>
    </i>
    <i r="3">
      <x v="76"/>
    </i>
    <i r="1">
      <x v="52"/>
    </i>
    <i r="2">
      <x v="18"/>
    </i>
    <i r="3">
      <x v="76"/>
    </i>
    <i>
      <x v="34"/>
    </i>
    <i r="1">
      <x v="13"/>
    </i>
    <i r="2">
      <x v="13"/>
    </i>
    <i r="3">
      <x v="80"/>
    </i>
    <i r="1">
      <x v="42"/>
    </i>
    <i r="2">
      <x v="12"/>
    </i>
    <i r="3">
      <x v="80"/>
    </i>
    <i>
      <x v="35"/>
    </i>
    <i r="1">
      <x v="1"/>
    </i>
    <i r="2">
      <x v="45"/>
    </i>
    <i r="3">
      <x v="47"/>
    </i>
    <i r="1">
      <x v="33"/>
    </i>
    <i r="2">
      <x v="44"/>
    </i>
    <i r="3">
      <x v="47"/>
    </i>
    <i>
      <x v="36"/>
    </i>
    <i r="1">
      <x v="37"/>
    </i>
    <i r="2">
      <x v="46"/>
    </i>
    <i r="3">
      <x v="7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Gross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28924-6B79-4762-9B3D-D41F6AEED93C}" name="PivotTable1" cacheId="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F75" firstHeaderRow="1" firstDataRow="2" firstDataCol="3"/>
  <pivotFields count="7">
    <pivotField axis="axisRow" compact="0" outline="0" showAll="0" defaultSubtotal="0">
      <items count="37">
        <item x="7"/>
        <item x="6"/>
        <item x="24"/>
        <item x="10"/>
        <item x="28"/>
        <item x="12"/>
        <item x="29"/>
        <item x="14"/>
        <item x="31"/>
        <item x="0"/>
        <item x="18"/>
        <item x="16"/>
        <item sd="0" x="20"/>
        <item x="11"/>
        <item x="17"/>
        <item sd="0" x="4"/>
        <item x="1"/>
        <item x="3"/>
        <item x="5"/>
        <item x="9"/>
        <item x="35"/>
        <item x="25"/>
        <item x="13"/>
        <item x="27"/>
        <item x="32"/>
        <item x="26"/>
        <item x="36"/>
        <item x="2"/>
        <item x="30"/>
        <item x="23"/>
        <item x="22"/>
        <item x="33"/>
        <item x="21"/>
        <item x="8"/>
        <item x="15"/>
        <item x="19"/>
        <item x="34"/>
      </items>
    </pivotField>
    <pivotField axis="axisRow" compact="0" outline="0" showAll="0">
      <items count="57">
        <item x="2"/>
        <item x="43"/>
        <item x="38"/>
        <item x="14"/>
        <item x="50"/>
        <item x="0"/>
        <item x="11"/>
        <item x="23"/>
        <item x="47"/>
        <item x="46"/>
        <item x="55"/>
        <item x="52"/>
        <item x="40"/>
        <item x="15"/>
        <item x="44"/>
        <item x="42"/>
        <item x="18"/>
        <item x="32"/>
        <item x="8"/>
        <item x="33"/>
        <item x="25"/>
        <item x="3"/>
        <item x="29"/>
        <item x="16"/>
        <item x="21"/>
        <item x="22"/>
        <item x="13"/>
        <item x="17"/>
        <item x="4"/>
        <item x="1"/>
        <item x="12"/>
        <item x="31"/>
        <item x="20"/>
        <item x="5"/>
        <item x="30"/>
        <item x="9"/>
        <item x="51"/>
        <item x="10"/>
        <item x="39"/>
        <item x="28"/>
        <item x="48"/>
        <item x="41"/>
        <item x="36"/>
        <item x="24"/>
        <item x="35"/>
        <item x="19"/>
        <item x="6"/>
        <item x="7"/>
        <item x="37"/>
        <item x="53"/>
        <item x="45"/>
        <item x="49"/>
        <item x="54"/>
        <item x="34"/>
        <item x="26"/>
        <item x="27"/>
        <item t="default"/>
      </items>
    </pivotField>
    <pivotField axis="axisRow" compact="0" outline="0" showAll="0" defaultSubtotal="0">
      <items count="90"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65"/>
        <item sd="0" x="81"/>
        <item sd="0" x="80"/>
        <item sd="0" x="44"/>
        <item sd="0" x="66"/>
        <item sd="0" x="67"/>
        <item sd="0" x="68"/>
        <item sd="0" x="69"/>
        <item sd="0" x="70"/>
        <item sd="0" x="71"/>
        <item x="72"/>
        <item sd="0" x="57"/>
        <item sd="0" x="53"/>
        <item sd="0" x="6"/>
        <item sd="0" x="7"/>
        <item sd="0" x="87"/>
        <item sd="0" x="8"/>
        <item sd="0" x="86"/>
        <item sd="0" x="9"/>
        <item sd="0" x="37"/>
        <item sd="0" x="38"/>
        <item sd="0" x="39"/>
        <item sd="0" x="50"/>
        <item sd="0" x="51"/>
        <item sd="0" x="52"/>
        <item sd="0" x="58"/>
        <item sd="0" x="54"/>
        <item x="40"/>
        <item sd="0" x="41"/>
        <item sd="0" x="42"/>
        <item sd="0" x="60"/>
        <item sd="0" x="61"/>
        <item sd="0" x="62"/>
        <item sd="0" x="63"/>
        <item sd="0" x="64"/>
        <item sd="0" x="32"/>
        <item sd="0" x="48"/>
        <item sd="0" x="49"/>
        <item sd="0" x="46"/>
        <item sd="0" x="84"/>
        <item sd="0" x="83"/>
        <item sd="0" x="73"/>
        <item sd="0" x="82"/>
        <item sd="0" x="0"/>
        <item sd="0" x="1"/>
        <item sd="0" x="2"/>
        <item sd="0" x="3"/>
        <item sd="0" x="4"/>
        <item sd="0" x="5"/>
        <item sd="0" x="43"/>
        <item sd="0" x="85"/>
        <item sd="0" x="34"/>
        <item sd="0" x="55"/>
        <item sd="0" x="56"/>
        <item sd="0" x="59"/>
        <item sd="0" x="36"/>
        <item sd="0" x="78"/>
        <item sd="0" x="79"/>
        <item sd="0" x="10"/>
        <item sd="0" x="47"/>
        <item sd="0" x="75"/>
        <item sd="0" x="45"/>
        <item sd="0" x="74"/>
        <item sd="0" x="76"/>
        <item sd="0" x="77"/>
        <item sd="0" x="88"/>
        <item sd="0" x="33"/>
        <item sd="0" x="35"/>
        <item sd="0" x="89"/>
      </items>
    </pivotField>
    <pivotField compact="0" outline="0" showAll="0">
      <items count="57">
        <item x="27"/>
        <item x="29"/>
        <item x="11"/>
        <item x="12"/>
        <item x="0"/>
        <item x="23"/>
        <item x="1"/>
        <item x="13"/>
        <item x="14"/>
        <item x="6"/>
        <item x="8"/>
        <item x="30"/>
        <item x="26"/>
        <item x="15"/>
        <item x="7"/>
        <item x="16"/>
        <item x="9"/>
        <item x="25"/>
        <item x="2"/>
        <item x="17"/>
        <item x="18"/>
        <item x="19"/>
        <item x="31"/>
        <item x="3"/>
        <item x="28"/>
        <item x="20"/>
        <item x="4"/>
        <item x="10"/>
        <item x="21"/>
        <item x="22"/>
        <item x="5"/>
        <item x="24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outline="0" showAll="0"/>
    <pivotField dataField="1" compact="0" outline="0" showAll="0"/>
    <pivotField axis="axisCol" compact="0" outline="0" showAll="0">
      <items count="3">
        <item x="0"/>
        <item x="1"/>
        <item t="default"/>
      </items>
    </pivotField>
  </pivotFields>
  <rowFields count="3">
    <field x="0"/>
    <field x="2"/>
    <field x="1"/>
  </rowFields>
  <rowItems count="71">
    <i>
      <x/>
      <x v="88"/>
    </i>
    <i>
      <x v="1"/>
      <x v="72"/>
    </i>
    <i>
      <x v="2"/>
      <x v="51"/>
    </i>
    <i r="1">
      <x v="52"/>
    </i>
    <i r="1">
      <x v="53"/>
    </i>
    <i r="1">
      <x v="54"/>
    </i>
    <i r="1">
      <x v="55"/>
    </i>
    <i>
      <x v="3"/>
      <x v="48"/>
      <x v="37"/>
    </i>
    <i r="1">
      <x v="49"/>
    </i>
    <i r="1">
      <x v="50"/>
    </i>
    <i>
      <x v="4"/>
      <x v="83"/>
    </i>
    <i>
      <x v="5"/>
      <x v="24"/>
    </i>
    <i>
      <x v="6"/>
      <x v="81"/>
    </i>
    <i>
      <x v="7"/>
      <x v="59"/>
    </i>
    <i r="1">
      <x v="60"/>
    </i>
    <i r="1">
      <x v="61"/>
    </i>
    <i>
      <x v="8"/>
      <x v="71"/>
    </i>
    <i r="1">
      <x v="77"/>
    </i>
    <i r="1">
      <x v="78"/>
    </i>
    <i>
      <x v="9"/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>
      <x v="10"/>
      <x v="33"/>
    </i>
    <i>
      <x v="11"/>
      <x v="57"/>
    </i>
    <i r="1">
      <x v="58"/>
    </i>
    <i>
      <x v="12"/>
    </i>
    <i>
      <x v="13"/>
      <x v="70"/>
    </i>
    <i>
      <x v="14"/>
      <x v="43"/>
    </i>
    <i r="1">
      <x v="44"/>
    </i>
    <i r="1">
      <x v="45"/>
    </i>
    <i>
      <x v="15"/>
    </i>
    <i>
      <x v="16"/>
      <x v="34"/>
    </i>
    <i r="1">
      <x v="35"/>
    </i>
    <i r="1">
      <x v="37"/>
    </i>
    <i>
      <x v="17"/>
      <x v="79"/>
    </i>
    <i>
      <x v="18"/>
      <x v="86"/>
    </i>
    <i r="1">
      <x v="87"/>
    </i>
    <i>
      <x v="19"/>
      <x v="40"/>
    </i>
    <i r="1">
      <x v="41"/>
    </i>
    <i r="1">
      <x v="42"/>
    </i>
    <i>
      <x v="20"/>
      <x v="79"/>
    </i>
    <i>
      <x v="21"/>
      <x v="21"/>
    </i>
    <i>
      <x v="22"/>
      <x v="82"/>
    </i>
    <i>
      <x v="23"/>
      <x v="62"/>
    </i>
    <i>
      <x v="24"/>
      <x v="23"/>
    </i>
    <i>
      <x v="25"/>
      <x v="25"/>
    </i>
    <i r="1">
      <x v="26"/>
    </i>
    <i r="1">
      <x v="27"/>
    </i>
    <i r="1">
      <x v="28"/>
    </i>
    <i r="1">
      <x v="29"/>
    </i>
    <i r="1">
      <x v="30"/>
    </i>
    <i r="1">
      <x v="31"/>
      <x v="54"/>
    </i>
    <i r="1">
      <x v="38"/>
    </i>
    <i>
      <x v="26"/>
      <x v="89"/>
    </i>
    <i>
      <x v="27"/>
      <x v="39"/>
    </i>
    <i>
      <x v="28"/>
      <x v="84"/>
    </i>
    <i r="1">
      <x v="85"/>
    </i>
    <i>
      <x v="29"/>
      <x v="75"/>
    </i>
    <i>
      <x v="30"/>
      <x v="46"/>
    </i>
    <i>
      <x v="31"/>
      <x v="22"/>
    </i>
    <i>
      <x v="32"/>
      <x v="32"/>
    </i>
    <i r="1">
      <x v="36"/>
    </i>
    <i>
      <x v="33"/>
      <x v="76"/>
    </i>
    <i>
      <x v="34"/>
      <x v="80"/>
    </i>
    <i>
      <x v="35"/>
      <x v="47"/>
    </i>
    <i>
      <x v="36"/>
      <x v="7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Gross Total" fld="5" baseField="0" baseItem="0"/>
  </dataFields>
  <formats count="3">
    <format dxfId="29">
      <pivotArea dataOnly="0" labelOnly="1" outline="0" fieldPosition="0">
        <references count="1">
          <reference field="6" count="1">
            <x v="0"/>
          </reference>
        </references>
      </pivotArea>
    </format>
    <format dxfId="28">
      <pivotArea dataOnly="0" labelOnly="1" outline="0" fieldPosition="0">
        <references count="1">
          <reference field="6" count="1">
            <x v="1"/>
          </reference>
        </references>
      </pivotArea>
    </format>
    <format dxfId="27">
      <pivotArea type="origin" dataOnly="0" labelOnly="1" outline="0" offset="B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264DC1-16A9-4633-80F6-92B49CFCCA53}" name="Table1" displayName="Table1" ref="A3:G4" totalsRowShown="0">
  <autoFilter ref="A3:G4" xr:uid="{F4264DC1-16A9-4633-80F6-92B49CFCCA53}"/>
  <tableColumns count="7">
    <tableColumn id="1" xr3:uid="{16C473C5-EF6D-4669-A4B7-57090307B569}" name="GSTIN of supplier"/>
    <tableColumn id="2" xr3:uid="{4CC66142-3343-488F-BFB7-AD3E788EE598}" name="Trade/Legal name"/>
    <tableColumn id="3" xr3:uid="{BDC6ED87-E714-4A2D-A69E-B1E337F37D6C}" name="Invoice number"/>
    <tableColumn id="4" xr3:uid="{502B7349-C041-4C75-BAB2-F381A9DAF1F5}" name="Invoice Date"/>
    <tableColumn id="5" xr3:uid="{AB66625D-727A-45E7-8B38-D80235040890}" name="Invoice Value(₹)"/>
    <tableColumn id="6" xr3:uid="{CA5E9A09-8C89-40E2-AAF6-704E17E385A7}" name="Gross Total"/>
    <tableColumn id="7" xr3:uid="{AF3B238F-B7C8-48EE-B643-2A82089AE869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9ED8-AB21-45BE-A57D-FF6DF66B7C26}">
  <dimension ref="A1:G4"/>
  <sheetViews>
    <sheetView workbookViewId="0">
      <selection activeCell="A3" sqref="A3:G4"/>
    </sheetView>
  </sheetViews>
  <sheetFormatPr defaultRowHeight="14.4" x14ac:dyDescent="0.3"/>
  <cols>
    <col min="1" max="1" width="17.77734375" bestFit="1" customWidth="1"/>
    <col min="2" max="2" width="19.33203125" bestFit="1" customWidth="1"/>
    <col min="3" max="3" width="16.5546875" bestFit="1" customWidth="1"/>
    <col min="4" max="4" width="13.6640625" bestFit="1" customWidth="1"/>
    <col min="5" max="5" width="17" bestFit="1" customWidth="1"/>
    <col min="6" max="6" width="12.44140625" bestFit="1" customWidth="1"/>
    <col min="7" max="7" width="10.109375" bestFit="1" customWidth="1"/>
  </cols>
  <sheetData>
    <row r="1" spans="1:7" x14ac:dyDescent="0.3">
      <c r="A1" s="15" t="s">
        <v>230</v>
      </c>
    </row>
    <row r="3" spans="1: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187</v>
      </c>
      <c r="G3" t="s">
        <v>223</v>
      </c>
    </row>
    <row r="4" spans="1:7" x14ac:dyDescent="0.3">
      <c r="A4" t="s">
        <v>74</v>
      </c>
      <c r="B4" t="s">
        <v>75</v>
      </c>
      <c r="C4" t="s">
        <v>76</v>
      </c>
      <c r="D4" t="s">
        <v>77</v>
      </c>
      <c r="E4">
        <v>49817.14</v>
      </c>
      <c r="F4">
        <v>58784</v>
      </c>
      <c r="G4" t="s">
        <v>224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62E1-739E-4B47-91C3-47A35152CEEC}">
  <dimension ref="A3:H225"/>
  <sheetViews>
    <sheetView workbookViewId="0">
      <selection activeCell="H11" sqref="H11:H18"/>
    </sheetView>
  </sheetViews>
  <sheetFormatPr defaultRowHeight="14.4" x14ac:dyDescent="0.3"/>
  <cols>
    <col min="1" max="1" width="53" bestFit="1" customWidth="1"/>
    <col min="2" max="2" width="15.5546875" bestFit="1" customWidth="1"/>
    <col min="3" max="4" width="11" bestFit="1" customWidth="1"/>
  </cols>
  <sheetData>
    <row r="3" spans="1:8" x14ac:dyDescent="0.3">
      <c r="A3" s="11" t="s">
        <v>226</v>
      </c>
      <c r="B3" s="11" t="s">
        <v>229</v>
      </c>
    </row>
    <row r="4" spans="1:8" x14ac:dyDescent="0.3">
      <c r="A4" s="11" t="s">
        <v>228</v>
      </c>
      <c r="B4" t="s">
        <v>224</v>
      </c>
      <c r="C4" t="s">
        <v>225</v>
      </c>
      <c r="D4" t="s">
        <v>222</v>
      </c>
    </row>
    <row r="5" spans="1:8" x14ac:dyDescent="0.3">
      <c r="A5" s="17" t="s">
        <v>78</v>
      </c>
      <c r="B5" s="16">
        <v>117675.74</v>
      </c>
      <c r="C5" s="16">
        <v>117675.74</v>
      </c>
      <c r="D5" s="16">
        <v>235351.48</v>
      </c>
    </row>
    <row r="6" spans="1:8" x14ac:dyDescent="0.3">
      <c r="A6" s="18" t="s">
        <v>79</v>
      </c>
      <c r="B6" s="16">
        <v>117675.74</v>
      </c>
      <c r="C6" s="16">
        <v>117675.74</v>
      </c>
      <c r="D6" s="16">
        <v>235351.48</v>
      </c>
    </row>
    <row r="7" spans="1:8" x14ac:dyDescent="0.3">
      <c r="A7" s="19" t="s">
        <v>80</v>
      </c>
      <c r="B7" s="16">
        <v>117675.74</v>
      </c>
      <c r="C7" s="16">
        <v>117675.74</v>
      </c>
      <c r="D7" s="16">
        <v>235351.48</v>
      </c>
    </row>
    <row r="8" spans="1:8" x14ac:dyDescent="0.3">
      <c r="A8" s="17" t="s">
        <v>74</v>
      </c>
      <c r="B8" s="16">
        <v>58784</v>
      </c>
      <c r="C8" s="16"/>
      <c r="D8" s="16">
        <v>58784</v>
      </c>
    </row>
    <row r="9" spans="1:8" x14ac:dyDescent="0.3">
      <c r="A9" s="18" t="s">
        <v>75</v>
      </c>
      <c r="B9" s="16">
        <v>58784</v>
      </c>
      <c r="C9" s="16"/>
      <c r="D9" s="16">
        <v>58784</v>
      </c>
    </row>
    <row r="10" spans="1:8" x14ac:dyDescent="0.3">
      <c r="A10" s="19" t="s">
        <v>76</v>
      </c>
      <c r="B10" s="16">
        <v>58784</v>
      </c>
      <c r="C10" s="16"/>
      <c r="D10" s="16">
        <v>58784</v>
      </c>
    </row>
    <row r="11" spans="1:8" x14ac:dyDescent="0.3">
      <c r="A11" s="17" t="s">
        <v>143</v>
      </c>
      <c r="B11" s="16">
        <v>154414.76</v>
      </c>
      <c r="C11" s="16">
        <v>154415</v>
      </c>
      <c r="D11" s="16">
        <v>308829.76</v>
      </c>
      <c r="H11" s="22" t="s">
        <v>10</v>
      </c>
    </row>
    <row r="12" spans="1:8" x14ac:dyDescent="0.3">
      <c r="A12" s="18" t="s">
        <v>190</v>
      </c>
      <c r="B12" s="16"/>
      <c r="C12" s="16">
        <v>154415</v>
      </c>
      <c r="D12" s="16">
        <v>154415</v>
      </c>
      <c r="H12" s="22" t="s">
        <v>12</v>
      </c>
    </row>
    <row r="13" spans="1:8" x14ac:dyDescent="0.3">
      <c r="A13" s="19" t="s">
        <v>145</v>
      </c>
      <c r="B13" s="16"/>
      <c r="C13" s="16">
        <v>21516</v>
      </c>
      <c r="D13" s="16">
        <v>21516</v>
      </c>
      <c r="H13" s="22" t="s">
        <v>14</v>
      </c>
    </row>
    <row r="14" spans="1:8" x14ac:dyDescent="0.3">
      <c r="A14" s="19" t="s">
        <v>146</v>
      </c>
      <c r="B14" s="16"/>
      <c r="C14" s="16">
        <v>40960</v>
      </c>
      <c r="D14" s="16">
        <v>40960</v>
      </c>
      <c r="H14" s="22" t="s">
        <v>16</v>
      </c>
    </row>
    <row r="15" spans="1:8" x14ac:dyDescent="0.3">
      <c r="A15" s="19" t="s">
        <v>148</v>
      </c>
      <c r="B15" s="16"/>
      <c r="C15" s="16">
        <v>25014</v>
      </c>
      <c r="D15" s="16">
        <v>25014</v>
      </c>
      <c r="H15" s="22" t="s">
        <v>18</v>
      </c>
    </row>
    <row r="16" spans="1:8" x14ac:dyDescent="0.3">
      <c r="A16" s="19" t="s">
        <v>149</v>
      </c>
      <c r="B16" s="16"/>
      <c r="C16" s="16">
        <v>26812</v>
      </c>
      <c r="D16" s="16">
        <v>26812</v>
      </c>
      <c r="H16" s="22" t="s">
        <v>22</v>
      </c>
    </row>
    <row r="17" spans="1:8" x14ac:dyDescent="0.3">
      <c r="A17" s="19" t="s">
        <v>150</v>
      </c>
      <c r="B17" s="16"/>
      <c r="C17" s="16">
        <v>40113</v>
      </c>
      <c r="D17" s="16">
        <v>40113</v>
      </c>
      <c r="H17" s="22" t="s">
        <v>24</v>
      </c>
    </row>
    <row r="18" spans="1:8" x14ac:dyDescent="0.3">
      <c r="A18" s="18" t="s">
        <v>144</v>
      </c>
      <c r="B18" s="16">
        <v>154414.76</v>
      </c>
      <c r="C18" s="16"/>
      <c r="D18" s="16">
        <v>154414.76</v>
      </c>
      <c r="H18" s="22" t="s">
        <v>26</v>
      </c>
    </row>
    <row r="19" spans="1:8" x14ac:dyDescent="0.3">
      <c r="A19" s="19" t="s">
        <v>145</v>
      </c>
      <c r="B19" s="16">
        <v>21515.759999999998</v>
      </c>
      <c r="C19" s="16"/>
      <c r="D19" s="16">
        <v>21515.759999999998</v>
      </c>
    </row>
    <row r="20" spans="1:8" x14ac:dyDescent="0.3">
      <c r="A20" s="19" t="s">
        <v>146</v>
      </c>
      <c r="B20" s="16">
        <v>40959.68</v>
      </c>
      <c r="C20" s="16"/>
      <c r="D20" s="16">
        <v>40959.68</v>
      </c>
    </row>
    <row r="21" spans="1:8" x14ac:dyDescent="0.3">
      <c r="A21" s="19" t="s">
        <v>148</v>
      </c>
      <c r="B21" s="16">
        <v>25014.42</v>
      </c>
      <c r="C21" s="16"/>
      <c r="D21" s="16">
        <v>25014.42</v>
      </c>
    </row>
    <row r="22" spans="1:8" x14ac:dyDescent="0.3">
      <c r="A22" s="19" t="s">
        <v>149</v>
      </c>
      <c r="B22" s="16">
        <v>26811.5</v>
      </c>
      <c r="C22" s="16"/>
      <c r="D22" s="16">
        <v>26811.5</v>
      </c>
    </row>
    <row r="23" spans="1:8" x14ac:dyDescent="0.3">
      <c r="A23" s="19" t="s">
        <v>150</v>
      </c>
      <c r="B23" s="16">
        <v>40113.4</v>
      </c>
      <c r="C23" s="16"/>
      <c r="D23" s="16">
        <v>40113.4</v>
      </c>
    </row>
    <row r="24" spans="1:8" x14ac:dyDescent="0.3">
      <c r="A24" s="17" t="s">
        <v>90</v>
      </c>
      <c r="B24" s="16">
        <v>39600</v>
      </c>
      <c r="C24" s="16">
        <v>24200</v>
      </c>
      <c r="D24" s="16">
        <v>63800</v>
      </c>
    </row>
    <row r="25" spans="1:8" x14ac:dyDescent="0.3">
      <c r="A25" s="18" t="s">
        <v>91</v>
      </c>
      <c r="B25" s="16">
        <v>39600</v>
      </c>
      <c r="C25" s="16"/>
      <c r="D25" s="16">
        <v>39600</v>
      </c>
    </row>
    <row r="26" spans="1:8" x14ac:dyDescent="0.3">
      <c r="A26" s="19" t="s">
        <v>92</v>
      </c>
      <c r="B26" s="16">
        <v>15400</v>
      </c>
      <c r="C26" s="16"/>
      <c r="D26" s="16">
        <v>15400</v>
      </c>
    </row>
    <row r="27" spans="1:8" x14ac:dyDescent="0.3">
      <c r="A27" s="19" t="s">
        <v>93</v>
      </c>
      <c r="B27" s="16">
        <v>19800</v>
      </c>
      <c r="C27" s="16"/>
      <c r="D27" s="16">
        <v>19800</v>
      </c>
    </row>
    <row r="28" spans="1:8" x14ac:dyDescent="0.3">
      <c r="A28" s="19" t="s">
        <v>94</v>
      </c>
      <c r="B28" s="16">
        <v>4400</v>
      </c>
      <c r="C28" s="16"/>
      <c r="D28" s="16">
        <v>4400</v>
      </c>
    </row>
    <row r="29" spans="1:8" x14ac:dyDescent="0.3">
      <c r="A29" s="18" t="s">
        <v>198</v>
      </c>
      <c r="B29" s="16"/>
      <c r="C29" s="16">
        <v>24200</v>
      </c>
      <c r="D29" s="16">
        <v>24200</v>
      </c>
    </row>
    <row r="30" spans="1:8" x14ac:dyDescent="0.3">
      <c r="A30" s="19" t="s">
        <v>93</v>
      </c>
      <c r="B30" s="16"/>
      <c r="C30" s="16">
        <v>19800</v>
      </c>
      <c r="D30" s="16">
        <v>19800</v>
      </c>
    </row>
    <row r="31" spans="1:8" x14ac:dyDescent="0.3">
      <c r="A31" s="19" t="s">
        <v>94</v>
      </c>
      <c r="B31" s="16"/>
      <c r="C31" s="16">
        <v>4400</v>
      </c>
      <c r="D31" s="16">
        <v>4400</v>
      </c>
    </row>
    <row r="32" spans="1:8" x14ac:dyDescent="0.3">
      <c r="A32" s="17" t="s">
        <v>167</v>
      </c>
      <c r="B32" s="16">
        <v>9200</v>
      </c>
      <c r="C32" s="16">
        <v>9200</v>
      </c>
      <c r="D32" s="16">
        <v>18400</v>
      </c>
    </row>
    <row r="33" spans="1:4" x14ac:dyDescent="0.3">
      <c r="A33" s="18" t="s">
        <v>168</v>
      </c>
      <c r="B33" s="16">
        <v>9200</v>
      </c>
      <c r="C33" s="16">
        <v>9200</v>
      </c>
      <c r="D33" s="16">
        <v>18400</v>
      </c>
    </row>
    <row r="34" spans="1:4" x14ac:dyDescent="0.3">
      <c r="A34" s="19" t="s">
        <v>169</v>
      </c>
      <c r="B34" s="16">
        <v>9200</v>
      </c>
      <c r="C34" s="16">
        <v>9200</v>
      </c>
      <c r="D34" s="16">
        <v>18400</v>
      </c>
    </row>
    <row r="35" spans="1:4" x14ac:dyDescent="0.3">
      <c r="A35" s="17" t="s">
        <v>100</v>
      </c>
      <c r="B35" s="16">
        <v>9275</v>
      </c>
      <c r="C35" s="16">
        <v>9275</v>
      </c>
      <c r="D35" s="16">
        <v>18550</v>
      </c>
    </row>
    <row r="36" spans="1:4" x14ac:dyDescent="0.3">
      <c r="A36" s="18" t="s">
        <v>101</v>
      </c>
      <c r="B36" s="16">
        <v>9275</v>
      </c>
      <c r="C36" s="16"/>
      <c r="D36" s="16">
        <v>9275</v>
      </c>
    </row>
    <row r="37" spans="1:4" x14ac:dyDescent="0.3">
      <c r="A37" s="19" t="s">
        <v>102</v>
      </c>
      <c r="B37" s="16">
        <v>9275</v>
      </c>
      <c r="C37" s="16"/>
      <c r="D37" s="16">
        <v>9275</v>
      </c>
    </row>
    <row r="38" spans="1:4" x14ac:dyDescent="0.3">
      <c r="A38" s="18" t="s">
        <v>216</v>
      </c>
      <c r="B38" s="16"/>
      <c r="C38" s="16">
        <v>9275</v>
      </c>
      <c r="D38" s="16">
        <v>9275</v>
      </c>
    </row>
    <row r="39" spans="1:4" x14ac:dyDescent="0.3">
      <c r="A39" s="19" t="s">
        <v>102</v>
      </c>
      <c r="B39" s="16"/>
      <c r="C39" s="16">
        <v>9275</v>
      </c>
      <c r="D39" s="16">
        <v>9275</v>
      </c>
    </row>
    <row r="40" spans="1:4" x14ac:dyDescent="0.3">
      <c r="A40" s="17" t="s">
        <v>170</v>
      </c>
      <c r="B40" s="16">
        <v>32555</v>
      </c>
      <c r="C40" s="16">
        <v>32555</v>
      </c>
      <c r="D40" s="16">
        <v>65110</v>
      </c>
    </row>
    <row r="41" spans="1:4" x14ac:dyDescent="0.3">
      <c r="A41" s="18" t="s">
        <v>203</v>
      </c>
      <c r="B41" s="16"/>
      <c r="C41" s="16">
        <v>32555</v>
      </c>
      <c r="D41" s="16">
        <v>32555</v>
      </c>
    </row>
    <row r="42" spans="1:4" x14ac:dyDescent="0.3">
      <c r="A42" s="19" t="s">
        <v>172</v>
      </c>
      <c r="B42" s="16"/>
      <c r="C42" s="16">
        <v>32555</v>
      </c>
      <c r="D42" s="16">
        <v>32555</v>
      </c>
    </row>
    <row r="43" spans="1:4" x14ac:dyDescent="0.3">
      <c r="A43" s="18" t="s">
        <v>171</v>
      </c>
      <c r="B43" s="16">
        <v>32555</v>
      </c>
      <c r="C43" s="16"/>
      <c r="D43" s="16">
        <v>32555</v>
      </c>
    </row>
    <row r="44" spans="1:4" x14ac:dyDescent="0.3">
      <c r="A44" s="19" t="s">
        <v>172</v>
      </c>
      <c r="B44" s="16">
        <v>32555</v>
      </c>
      <c r="C44" s="16"/>
      <c r="D44" s="16">
        <v>32555</v>
      </c>
    </row>
    <row r="45" spans="1:4" x14ac:dyDescent="0.3">
      <c r="A45" s="17" t="s">
        <v>106</v>
      </c>
      <c r="B45" s="16">
        <v>5250</v>
      </c>
      <c r="C45" s="16">
        <v>11460</v>
      </c>
      <c r="D45" s="16">
        <v>16710</v>
      </c>
    </row>
    <row r="46" spans="1:4" x14ac:dyDescent="0.3">
      <c r="A46" s="18" t="s">
        <v>195</v>
      </c>
      <c r="B46" s="16"/>
      <c r="C46" s="16">
        <v>11460</v>
      </c>
      <c r="D46" s="16">
        <v>11460</v>
      </c>
    </row>
    <row r="47" spans="1:4" x14ac:dyDescent="0.3">
      <c r="A47" s="19" t="s">
        <v>197</v>
      </c>
      <c r="B47" s="16"/>
      <c r="C47" s="16">
        <v>6210</v>
      </c>
      <c r="D47" s="16">
        <v>6210</v>
      </c>
    </row>
    <row r="48" spans="1:4" x14ac:dyDescent="0.3">
      <c r="A48" s="19" t="s">
        <v>196</v>
      </c>
      <c r="B48" s="16"/>
      <c r="C48" s="16">
        <v>5250</v>
      </c>
      <c r="D48" s="16">
        <v>5250</v>
      </c>
    </row>
    <row r="49" spans="1:4" x14ac:dyDescent="0.3">
      <c r="A49" s="18" t="s">
        <v>107</v>
      </c>
      <c r="B49" s="16">
        <v>5250</v>
      </c>
      <c r="C49" s="16"/>
      <c r="D49" s="16">
        <v>5250</v>
      </c>
    </row>
    <row r="50" spans="1:4" x14ac:dyDescent="0.3">
      <c r="A50" s="19" t="s">
        <v>108</v>
      </c>
      <c r="B50" s="16">
        <v>5250</v>
      </c>
      <c r="C50" s="16"/>
      <c r="D50" s="16">
        <v>5250</v>
      </c>
    </row>
    <row r="51" spans="1:4" x14ac:dyDescent="0.3">
      <c r="A51" s="17" t="s">
        <v>177</v>
      </c>
      <c r="B51" s="16">
        <v>56110</v>
      </c>
      <c r="C51" s="16">
        <v>56510</v>
      </c>
      <c r="D51" s="16">
        <v>112620</v>
      </c>
    </row>
    <row r="52" spans="1:4" x14ac:dyDescent="0.3">
      <c r="A52" s="18" t="s">
        <v>178</v>
      </c>
      <c r="B52" s="16">
        <v>56110</v>
      </c>
      <c r="C52" s="16"/>
      <c r="D52" s="16">
        <v>56110</v>
      </c>
    </row>
    <row r="53" spans="1:4" x14ac:dyDescent="0.3">
      <c r="A53" s="19" t="s">
        <v>179</v>
      </c>
      <c r="B53" s="16">
        <v>49600</v>
      </c>
      <c r="C53" s="16"/>
      <c r="D53" s="16">
        <v>49600</v>
      </c>
    </row>
    <row r="54" spans="1:4" x14ac:dyDescent="0.3">
      <c r="A54" s="19" t="s">
        <v>180</v>
      </c>
      <c r="B54" s="16">
        <v>6510</v>
      </c>
      <c r="C54" s="16"/>
      <c r="D54" s="16">
        <v>6510</v>
      </c>
    </row>
    <row r="55" spans="1:4" x14ac:dyDescent="0.3">
      <c r="A55" s="18" t="s">
        <v>204</v>
      </c>
      <c r="B55" s="16"/>
      <c r="C55" s="16">
        <v>56510</v>
      </c>
      <c r="D55" s="16">
        <v>56510</v>
      </c>
    </row>
    <row r="56" spans="1:4" x14ac:dyDescent="0.3">
      <c r="A56" s="19" t="s">
        <v>205</v>
      </c>
      <c r="B56" s="16"/>
      <c r="C56" s="16">
        <v>400</v>
      </c>
      <c r="D56" s="16">
        <v>400</v>
      </c>
    </row>
    <row r="57" spans="1:4" x14ac:dyDescent="0.3">
      <c r="A57" s="19" t="s">
        <v>179</v>
      </c>
      <c r="B57" s="16"/>
      <c r="C57" s="16">
        <v>49600</v>
      </c>
      <c r="D57" s="16">
        <v>49600</v>
      </c>
    </row>
    <row r="58" spans="1:4" x14ac:dyDescent="0.3">
      <c r="A58" s="19" t="s">
        <v>180</v>
      </c>
      <c r="B58" s="16"/>
      <c r="C58" s="16">
        <v>6510</v>
      </c>
      <c r="D58" s="16">
        <v>6510</v>
      </c>
    </row>
    <row r="59" spans="1:4" x14ac:dyDescent="0.3">
      <c r="A59" s="17" t="s">
        <v>5</v>
      </c>
      <c r="B59" s="16">
        <v>147277</v>
      </c>
      <c r="C59" s="16">
        <v>147277</v>
      </c>
      <c r="D59" s="16">
        <v>294554</v>
      </c>
    </row>
    <row r="60" spans="1:4" x14ac:dyDescent="0.3">
      <c r="A60" s="18" t="s">
        <v>6</v>
      </c>
      <c r="B60" s="16">
        <v>147277</v>
      </c>
      <c r="C60" s="16">
        <v>147277</v>
      </c>
      <c r="D60" s="16">
        <v>294554</v>
      </c>
    </row>
    <row r="61" spans="1:4" x14ac:dyDescent="0.3">
      <c r="A61" s="19" t="s">
        <v>194</v>
      </c>
      <c r="B61" s="16"/>
      <c r="C61" s="16">
        <v>6020</v>
      </c>
      <c r="D61" s="16">
        <v>6020</v>
      </c>
    </row>
    <row r="62" spans="1:4" x14ac:dyDescent="0.3">
      <c r="A62" s="19" t="s">
        <v>7</v>
      </c>
      <c r="B62" s="16">
        <v>31755</v>
      </c>
      <c r="C62" s="16">
        <v>31755</v>
      </c>
      <c r="D62" s="16">
        <v>63510</v>
      </c>
    </row>
    <row r="63" spans="1:4" x14ac:dyDescent="0.3">
      <c r="A63" s="19" t="s">
        <v>9</v>
      </c>
      <c r="B63" s="16">
        <v>6020</v>
      </c>
      <c r="C63" s="16"/>
      <c r="D63" s="16">
        <v>6020</v>
      </c>
    </row>
    <row r="64" spans="1:4" x14ac:dyDescent="0.3">
      <c r="A64" s="19" t="s">
        <v>11</v>
      </c>
      <c r="B64" s="16">
        <v>36018</v>
      </c>
      <c r="C64" s="16">
        <v>36018</v>
      </c>
      <c r="D64" s="16">
        <v>72036</v>
      </c>
    </row>
    <row r="65" spans="1:4" x14ac:dyDescent="0.3">
      <c r="A65" s="19" t="s">
        <v>13</v>
      </c>
      <c r="B65" s="16">
        <v>20999</v>
      </c>
      <c r="C65" s="16">
        <v>20999</v>
      </c>
      <c r="D65" s="16">
        <v>41998</v>
      </c>
    </row>
    <row r="66" spans="1:4" x14ac:dyDescent="0.3">
      <c r="A66" s="19" t="s">
        <v>15</v>
      </c>
      <c r="B66" s="16">
        <v>4490</v>
      </c>
      <c r="C66" s="16">
        <v>4490</v>
      </c>
      <c r="D66" s="16">
        <v>8980</v>
      </c>
    </row>
    <row r="67" spans="1:4" x14ac:dyDescent="0.3">
      <c r="A67" s="19" t="s">
        <v>17</v>
      </c>
      <c r="B67" s="16">
        <v>47995</v>
      </c>
      <c r="C67" s="16">
        <v>47995</v>
      </c>
      <c r="D67" s="16">
        <v>95990</v>
      </c>
    </row>
    <row r="68" spans="1:4" x14ac:dyDescent="0.3">
      <c r="A68" s="17" t="s">
        <v>123</v>
      </c>
      <c r="B68" s="16">
        <v>7250</v>
      </c>
      <c r="C68" s="16">
        <v>7250</v>
      </c>
      <c r="D68" s="16">
        <v>14500</v>
      </c>
    </row>
    <row r="69" spans="1:4" x14ac:dyDescent="0.3">
      <c r="A69" s="18" t="s">
        <v>124</v>
      </c>
      <c r="B69" s="16">
        <v>7250</v>
      </c>
      <c r="C69" s="16">
        <v>7250</v>
      </c>
      <c r="D69" s="16">
        <v>14500</v>
      </c>
    </row>
    <row r="70" spans="1:4" x14ac:dyDescent="0.3">
      <c r="A70" s="19" t="s">
        <v>125</v>
      </c>
      <c r="B70" s="16">
        <v>7250</v>
      </c>
      <c r="C70" s="16">
        <v>7250</v>
      </c>
      <c r="D70" s="16">
        <v>14500</v>
      </c>
    </row>
    <row r="71" spans="1:4" x14ac:dyDescent="0.3">
      <c r="A71" s="17" t="s">
        <v>112</v>
      </c>
      <c r="B71" s="16">
        <v>106959</v>
      </c>
      <c r="C71" s="16">
        <v>106959</v>
      </c>
      <c r="D71" s="16">
        <v>213918</v>
      </c>
    </row>
    <row r="72" spans="1:4" x14ac:dyDescent="0.3">
      <c r="A72" s="18" t="s">
        <v>201</v>
      </c>
      <c r="B72" s="16"/>
      <c r="C72" s="16">
        <v>106959</v>
      </c>
      <c r="D72" s="16">
        <v>106959</v>
      </c>
    </row>
    <row r="73" spans="1:4" x14ac:dyDescent="0.3">
      <c r="A73" s="19" t="s">
        <v>114</v>
      </c>
      <c r="B73" s="16"/>
      <c r="C73" s="16">
        <v>70326</v>
      </c>
      <c r="D73" s="16">
        <v>70326</v>
      </c>
    </row>
    <row r="74" spans="1:4" x14ac:dyDescent="0.3">
      <c r="A74" s="19" t="s">
        <v>115</v>
      </c>
      <c r="B74" s="16"/>
      <c r="C74" s="16">
        <v>36633</v>
      </c>
      <c r="D74" s="16">
        <v>36633</v>
      </c>
    </row>
    <row r="75" spans="1:4" x14ac:dyDescent="0.3">
      <c r="A75" s="18" t="s">
        <v>113</v>
      </c>
      <c r="B75" s="16">
        <v>106959</v>
      </c>
      <c r="C75" s="16"/>
      <c r="D75" s="16">
        <v>106959</v>
      </c>
    </row>
    <row r="76" spans="1:4" x14ac:dyDescent="0.3">
      <c r="A76" s="19" t="s">
        <v>114</v>
      </c>
      <c r="B76" s="16">
        <v>70326</v>
      </c>
      <c r="C76" s="16"/>
      <c r="D76" s="16">
        <v>70326</v>
      </c>
    </row>
    <row r="77" spans="1:4" x14ac:dyDescent="0.3">
      <c r="A77" s="19" t="s">
        <v>115</v>
      </c>
      <c r="B77" s="16">
        <v>36633</v>
      </c>
      <c r="C77" s="16"/>
      <c r="D77" s="16">
        <v>36633</v>
      </c>
    </row>
    <row r="78" spans="1:4" x14ac:dyDescent="0.3">
      <c r="A78" s="17" t="s">
        <v>130</v>
      </c>
      <c r="B78" s="16">
        <v>88481</v>
      </c>
      <c r="C78" s="16">
        <v>88481</v>
      </c>
      <c r="D78" s="16">
        <v>176962</v>
      </c>
    </row>
    <row r="79" spans="1:4" x14ac:dyDescent="0.3">
      <c r="A79" s="18" t="s">
        <v>131</v>
      </c>
      <c r="B79" s="16">
        <v>88481</v>
      </c>
      <c r="C79" s="16"/>
      <c r="D79" s="16">
        <v>88481</v>
      </c>
    </row>
    <row r="80" spans="1:4" x14ac:dyDescent="0.3">
      <c r="A80" s="19" t="s">
        <v>132</v>
      </c>
      <c r="B80" s="16">
        <v>45431</v>
      </c>
      <c r="C80" s="16"/>
      <c r="D80" s="16">
        <v>45431</v>
      </c>
    </row>
    <row r="81" spans="1:4" x14ac:dyDescent="0.3">
      <c r="A81" s="19" t="s">
        <v>133</v>
      </c>
      <c r="B81" s="16">
        <v>43050</v>
      </c>
      <c r="C81" s="16"/>
      <c r="D81" s="16">
        <v>43050</v>
      </c>
    </row>
    <row r="82" spans="1:4" x14ac:dyDescent="0.3">
      <c r="A82" s="18" t="s">
        <v>209</v>
      </c>
      <c r="B82" s="16"/>
      <c r="C82" s="16">
        <v>88481</v>
      </c>
      <c r="D82" s="16">
        <v>88481</v>
      </c>
    </row>
    <row r="83" spans="1:4" x14ac:dyDescent="0.3">
      <c r="A83" s="19" t="s">
        <v>132</v>
      </c>
      <c r="B83" s="16"/>
      <c r="C83" s="16">
        <v>45431</v>
      </c>
      <c r="D83" s="16">
        <v>45431</v>
      </c>
    </row>
    <row r="84" spans="1:4" x14ac:dyDescent="0.3">
      <c r="A84" s="19" t="s">
        <v>133</v>
      </c>
      <c r="B84" s="16"/>
      <c r="C84" s="16">
        <v>43050</v>
      </c>
      <c r="D84" s="16">
        <v>43050</v>
      </c>
    </row>
    <row r="85" spans="1:4" x14ac:dyDescent="0.3">
      <c r="A85" s="17" t="s">
        <v>96</v>
      </c>
      <c r="B85" s="16">
        <v>12400</v>
      </c>
      <c r="C85" s="16"/>
      <c r="D85" s="16">
        <v>12400</v>
      </c>
    </row>
    <row r="86" spans="1:4" x14ac:dyDescent="0.3">
      <c r="A86" s="18" t="s">
        <v>97</v>
      </c>
      <c r="B86" s="16">
        <v>12400</v>
      </c>
      <c r="C86" s="16"/>
      <c r="D86" s="16">
        <v>12400</v>
      </c>
    </row>
    <row r="87" spans="1:4" x14ac:dyDescent="0.3">
      <c r="A87" s="19" t="s">
        <v>98</v>
      </c>
      <c r="B87" s="16">
        <v>12400</v>
      </c>
      <c r="C87" s="16"/>
      <c r="D87" s="16">
        <v>12400</v>
      </c>
    </row>
    <row r="88" spans="1:4" x14ac:dyDescent="0.3">
      <c r="A88" s="17" t="s">
        <v>116</v>
      </c>
      <c r="B88" s="16">
        <v>47490</v>
      </c>
      <c r="C88" s="16">
        <v>4720</v>
      </c>
      <c r="D88" s="16">
        <v>52210</v>
      </c>
    </row>
    <row r="89" spans="1:4" x14ac:dyDescent="0.3">
      <c r="A89" s="18" t="s">
        <v>117</v>
      </c>
      <c r="B89" s="16">
        <v>47490</v>
      </c>
      <c r="C89" s="16">
        <v>4720</v>
      </c>
      <c r="D89" s="16">
        <v>52210</v>
      </c>
    </row>
    <row r="90" spans="1:4" x14ac:dyDescent="0.3">
      <c r="A90" s="19" t="s">
        <v>118</v>
      </c>
      <c r="B90" s="16">
        <v>36050</v>
      </c>
      <c r="C90" s="16"/>
      <c r="D90" s="16">
        <v>36050</v>
      </c>
    </row>
    <row r="91" spans="1:4" x14ac:dyDescent="0.3">
      <c r="A91" s="19" t="s">
        <v>120</v>
      </c>
      <c r="B91" s="16">
        <v>6720</v>
      </c>
      <c r="C91" s="16"/>
      <c r="D91" s="16">
        <v>6720</v>
      </c>
    </row>
    <row r="92" spans="1:4" x14ac:dyDescent="0.3">
      <c r="A92" s="19" t="s">
        <v>122</v>
      </c>
      <c r="B92" s="16">
        <v>4720</v>
      </c>
      <c r="C92" s="16">
        <v>4720</v>
      </c>
      <c r="D92" s="16">
        <v>9440</v>
      </c>
    </row>
    <row r="93" spans="1:4" x14ac:dyDescent="0.3">
      <c r="A93" s="17" t="s">
        <v>35</v>
      </c>
      <c r="B93" s="16">
        <v>390950.60000000003</v>
      </c>
      <c r="C93" s="16">
        <v>147937</v>
      </c>
      <c r="D93" s="16">
        <v>538887.60000000009</v>
      </c>
    </row>
    <row r="94" spans="1:4" x14ac:dyDescent="0.3">
      <c r="A94" s="18" t="s">
        <v>36</v>
      </c>
      <c r="B94" s="16">
        <v>390950.60000000003</v>
      </c>
      <c r="C94" s="16"/>
      <c r="D94" s="16">
        <v>390950.60000000003</v>
      </c>
    </row>
    <row r="95" spans="1:4" x14ac:dyDescent="0.3">
      <c r="A95" s="19" t="s">
        <v>37</v>
      </c>
      <c r="B95" s="16">
        <v>4690</v>
      </c>
      <c r="C95" s="16"/>
      <c r="D95" s="16">
        <v>4690</v>
      </c>
    </row>
    <row r="96" spans="1:4" x14ac:dyDescent="0.3">
      <c r="A96" s="19" t="s">
        <v>39</v>
      </c>
      <c r="B96" s="16">
        <v>7800</v>
      </c>
      <c r="C96" s="16"/>
      <c r="D96" s="16">
        <v>7800</v>
      </c>
    </row>
    <row r="97" spans="1:4" x14ac:dyDescent="0.3">
      <c r="A97" s="19" t="s">
        <v>41</v>
      </c>
      <c r="B97" s="16">
        <v>10550</v>
      </c>
      <c r="C97" s="16"/>
      <c r="D97" s="16">
        <v>10550</v>
      </c>
    </row>
    <row r="98" spans="1:4" x14ac:dyDescent="0.3">
      <c r="A98" s="19" t="s">
        <v>42</v>
      </c>
      <c r="B98" s="16">
        <v>10080</v>
      </c>
      <c r="C98" s="16"/>
      <c r="D98" s="16">
        <v>10080</v>
      </c>
    </row>
    <row r="99" spans="1:4" x14ac:dyDescent="0.3">
      <c r="A99" s="19" t="s">
        <v>43</v>
      </c>
      <c r="B99" s="16">
        <v>4576.04</v>
      </c>
      <c r="C99" s="16"/>
      <c r="D99" s="16">
        <v>4576.04</v>
      </c>
    </row>
    <row r="100" spans="1:4" x14ac:dyDescent="0.3">
      <c r="A100" s="19" t="s">
        <v>45</v>
      </c>
      <c r="B100" s="16">
        <v>9000</v>
      </c>
      <c r="C100" s="16"/>
      <c r="D100" s="16">
        <v>9000</v>
      </c>
    </row>
    <row r="101" spans="1:4" x14ac:dyDescent="0.3">
      <c r="A101" s="19" t="s">
        <v>47</v>
      </c>
      <c r="B101" s="16">
        <v>20751</v>
      </c>
      <c r="C101" s="16"/>
      <c r="D101" s="16">
        <v>20751</v>
      </c>
    </row>
    <row r="102" spans="1:4" x14ac:dyDescent="0.3">
      <c r="A102" s="19" t="s">
        <v>49</v>
      </c>
      <c r="B102" s="16">
        <v>37480.339999999997</v>
      </c>
      <c r="C102" s="16"/>
      <c r="D102" s="16">
        <v>37480.339999999997</v>
      </c>
    </row>
    <row r="103" spans="1:4" x14ac:dyDescent="0.3">
      <c r="A103" s="19" t="s">
        <v>51</v>
      </c>
      <c r="B103" s="16">
        <v>16185.01</v>
      </c>
      <c r="C103" s="16"/>
      <c r="D103" s="16">
        <v>16185.01</v>
      </c>
    </row>
    <row r="104" spans="1:4" x14ac:dyDescent="0.3">
      <c r="A104" s="19" t="s">
        <v>52</v>
      </c>
      <c r="B104" s="16">
        <v>23851</v>
      </c>
      <c r="C104" s="16"/>
      <c r="D104" s="16">
        <v>23851</v>
      </c>
    </row>
    <row r="105" spans="1:4" x14ac:dyDescent="0.3">
      <c r="A105" s="19" t="s">
        <v>54</v>
      </c>
      <c r="B105" s="16">
        <v>29167.25</v>
      </c>
      <c r="C105" s="16"/>
      <c r="D105" s="16">
        <v>29167.25</v>
      </c>
    </row>
    <row r="106" spans="1:4" x14ac:dyDescent="0.3">
      <c r="A106" s="19" t="s">
        <v>55</v>
      </c>
      <c r="B106" s="16">
        <v>14806.3</v>
      </c>
      <c r="C106" s="16"/>
      <c r="D106" s="16">
        <v>14806.3</v>
      </c>
    </row>
    <row r="107" spans="1:4" x14ac:dyDescent="0.3">
      <c r="A107" s="19" t="s">
        <v>57</v>
      </c>
      <c r="B107" s="16">
        <v>5066</v>
      </c>
      <c r="C107" s="16"/>
      <c r="D107" s="16">
        <v>5066</v>
      </c>
    </row>
    <row r="108" spans="1:4" x14ac:dyDescent="0.3">
      <c r="A108" s="19" t="s">
        <v>59</v>
      </c>
      <c r="B108" s="16">
        <v>32894</v>
      </c>
      <c r="C108" s="16"/>
      <c r="D108" s="16">
        <v>32894</v>
      </c>
    </row>
    <row r="109" spans="1:4" x14ac:dyDescent="0.3">
      <c r="A109" s="19" t="s">
        <v>60</v>
      </c>
      <c r="B109" s="16">
        <v>24452.26</v>
      </c>
      <c r="C109" s="16"/>
      <c r="D109" s="16">
        <v>24452.26</v>
      </c>
    </row>
    <row r="110" spans="1:4" x14ac:dyDescent="0.3">
      <c r="A110" s="19" t="s">
        <v>61</v>
      </c>
      <c r="B110" s="16">
        <v>12000</v>
      </c>
      <c r="C110" s="16"/>
      <c r="D110" s="16">
        <v>12000</v>
      </c>
    </row>
    <row r="111" spans="1:4" x14ac:dyDescent="0.3">
      <c r="A111" s="19" t="s">
        <v>63</v>
      </c>
      <c r="B111" s="16">
        <v>6612</v>
      </c>
      <c r="C111" s="16"/>
      <c r="D111" s="16">
        <v>6612</v>
      </c>
    </row>
    <row r="112" spans="1:4" x14ac:dyDescent="0.3">
      <c r="A112" s="19" t="s">
        <v>65</v>
      </c>
      <c r="B112" s="16">
        <v>48971.4</v>
      </c>
      <c r="C112" s="16"/>
      <c r="D112" s="16">
        <v>48971.4</v>
      </c>
    </row>
    <row r="113" spans="1:4" x14ac:dyDescent="0.3">
      <c r="A113" s="19" t="s">
        <v>67</v>
      </c>
      <c r="B113" s="16">
        <v>6694</v>
      </c>
      <c r="C113" s="16"/>
      <c r="D113" s="16">
        <v>6694</v>
      </c>
    </row>
    <row r="114" spans="1:4" x14ac:dyDescent="0.3">
      <c r="A114" s="19" t="s">
        <v>68</v>
      </c>
      <c r="B114" s="16">
        <v>38474</v>
      </c>
      <c r="C114" s="16"/>
      <c r="D114" s="16">
        <v>38474</v>
      </c>
    </row>
    <row r="115" spans="1:4" x14ac:dyDescent="0.3">
      <c r="A115" s="19" t="s">
        <v>69</v>
      </c>
      <c r="B115" s="16">
        <v>9230</v>
      </c>
      <c r="C115" s="16"/>
      <c r="D115" s="16">
        <v>9230</v>
      </c>
    </row>
    <row r="116" spans="1:4" x14ac:dyDescent="0.3">
      <c r="A116" s="19" t="s">
        <v>70</v>
      </c>
      <c r="B116" s="16">
        <v>17620</v>
      </c>
      <c r="C116" s="16"/>
      <c r="D116" s="16">
        <v>17620</v>
      </c>
    </row>
    <row r="117" spans="1:4" x14ac:dyDescent="0.3">
      <c r="A117" s="18" t="s">
        <v>191</v>
      </c>
      <c r="B117" s="16"/>
      <c r="C117" s="16">
        <v>147937</v>
      </c>
      <c r="D117" s="16">
        <v>147937</v>
      </c>
    </row>
    <row r="118" spans="1:4" x14ac:dyDescent="0.3">
      <c r="A118" s="19" t="s">
        <v>39</v>
      </c>
      <c r="B118" s="16"/>
      <c r="C118" s="16">
        <v>7800</v>
      </c>
      <c r="D118" s="16">
        <v>7800</v>
      </c>
    </row>
    <row r="119" spans="1:4" x14ac:dyDescent="0.3">
      <c r="A119" s="19" t="s">
        <v>41</v>
      </c>
      <c r="B119" s="16"/>
      <c r="C119" s="16">
        <v>10550</v>
      </c>
      <c r="D119" s="16">
        <v>10550</v>
      </c>
    </row>
    <row r="120" spans="1:4" x14ac:dyDescent="0.3">
      <c r="A120" s="19" t="s">
        <v>42</v>
      </c>
      <c r="B120" s="16"/>
      <c r="C120" s="16">
        <v>10080</v>
      </c>
      <c r="D120" s="16">
        <v>10080</v>
      </c>
    </row>
    <row r="121" spans="1:4" x14ac:dyDescent="0.3">
      <c r="A121" s="19" t="s">
        <v>43</v>
      </c>
      <c r="B121" s="16"/>
      <c r="C121" s="16">
        <v>4576</v>
      </c>
      <c r="D121" s="16">
        <v>4576</v>
      </c>
    </row>
    <row r="122" spans="1:4" x14ac:dyDescent="0.3">
      <c r="A122" s="19" t="s">
        <v>45</v>
      </c>
      <c r="B122" s="16"/>
      <c r="C122" s="16">
        <v>9000</v>
      </c>
      <c r="D122" s="16">
        <v>9000</v>
      </c>
    </row>
    <row r="123" spans="1:4" x14ac:dyDescent="0.3">
      <c r="A123" s="19" t="s">
        <v>47</v>
      </c>
      <c r="B123" s="16"/>
      <c r="C123" s="16">
        <v>20751</v>
      </c>
      <c r="D123" s="16">
        <v>20751</v>
      </c>
    </row>
    <row r="124" spans="1:4" x14ac:dyDescent="0.3">
      <c r="A124" s="19" t="s">
        <v>49</v>
      </c>
      <c r="B124" s="16"/>
      <c r="C124" s="16">
        <v>37480</v>
      </c>
      <c r="D124" s="16">
        <v>37480</v>
      </c>
    </row>
    <row r="125" spans="1:4" x14ac:dyDescent="0.3">
      <c r="A125" s="19" t="s">
        <v>55</v>
      </c>
      <c r="B125" s="16"/>
      <c r="C125" s="16">
        <v>14806</v>
      </c>
      <c r="D125" s="16">
        <v>14806</v>
      </c>
    </row>
    <row r="126" spans="1:4" x14ac:dyDescent="0.3">
      <c r="A126" s="19" t="s">
        <v>59</v>
      </c>
      <c r="B126" s="16"/>
      <c r="C126" s="16">
        <v>32894</v>
      </c>
      <c r="D126" s="16">
        <v>32894</v>
      </c>
    </row>
    <row r="127" spans="1:4" x14ac:dyDescent="0.3">
      <c r="A127" s="17" t="s">
        <v>19</v>
      </c>
      <c r="B127" s="16">
        <v>23993</v>
      </c>
      <c r="C127" s="16"/>
      <c r="D127" s="16">
        <v>23993</v>
      </c>
    </row>
    <row r="128" spans="1:4" x14ac:dyDescent="0.3">
      <c r="A128" s="18" t="s">
        <v>20</v>
      </c>
      <c r="B128" s="16">
        <v>23993</v>
      </c>
      <c r="C128" s="16"/>
      <c r="D128" s="16">
        <v>23993</v>
      </c>
    </row>
    <row r="129" spans="1:4" x14ac:dyDescent="0.3">
      <c r="A129" s="19" t="s">
        <v>21</v>
      </c>
      <c r="B129" s="16">
        <v>3999</v>
      </c>
      <c r="C129" s="16"/>
      <c r="D129" s="16">
        <v>3999</v>
      </c>
    </row>
    <row r="130" spans="1:4" x14ac:dyDescent="0.3">
      <c r="A130" s="19" t="s">
        <v>23</v>
      </c>
      <c r="B130" s="16">
        <v>7998</v>
      </c>
      <c r="C130" s="16"/>
      <c r="D130" s="16">
        <v>7998</v>
      </c>
    </row>
    <row r="131" spans="1:4" x14ac:dyDescent="0.3">
      <c r="A131" s="19" t="s">
        <v>25</v>
      </c>
      <c r="B131" s="16">
        <v>11996</v>
      </c>
      <c r="C131" s="16"/>
      <c r="D131" s="16">
        <v>11996</v>
      </c>
    </row>
    <row r="132" spans="1:4" x14ac:dyDescent="0.3">
      <c r="A132" s="17" t="s">
        <v>31</v>
      </c>
      <c r="B132" s="16">
        <v>132806</v>
      </c>
      <c r="C132" s="16"/>
      <c r="D132" s="16">
        <v>132806</v>
      </c>
    </row>
    <row r="133" spans="1:4" x14ac:dyDescent="0.3">
      <c r="A133" s="18" t="s">
        <v>32</v>
      </c>
      <c r="B133" s="16">
        <v>132806</v>
      </c>
      <c r="C133" s="16"/>
      <c r="D133" s="16">
        <v>132806</v>
      </c>
    </row>
    <row r="134" spans="1:4" x14ac:dyDescent="0.3">
      <c r="A134" s="19" t="s">
        <v>33</v>
      </c>
      <c r="B134" s="16">
        <v>132806</v>
      </c>
      <c r="C134" s="16"/>
      <c r="D134" s="16">
        <v>132806</v>
      </c>
    </row>
    <row r="135" spans="1:4" x14ac:dyDescent="0.3">
      <c r="A135" s="17" t="s">
        <v>71</v>
      </c>
      <c r="B135" s="16">
        <v>43860</v>
      </c>
      <c r="C135" s="16">
        <v>43860</v>
      </c>
      <c r="D135" s="16">
        <v>87720</v>
      </c>
    </row>
    <row r="136" spans="1:4" x14ac:dyDescent="0.3">
      <c r="A136" s="18" t="s">
        <v>72</v>
      </c>
      <c r="B136" s="16">
        <v>43860</v>
      </c>
      <c r="C136" s="16"/>
      <c r="D136" s="16">
        <v>43860</v>
      </c>
    </row>
    <row r="137" spans="1:4" x14ac:dyDescent="0.3">
      <c r="A137" s="19" t="s">
        <v>73</v>
      </c>
      <c r="B137" s="16">
        <v>43860</v>
      </c>
      <c r="C137" s="16"/>
      <c r="D137" s="16">
        <v>43860</v>
      </c>
    </row>
    <row r="138" spans="1:4" x14ac:dyDescent="0.3">
      <c r="A138" s="18" t="s">
        <v>217</v>
      </c>
      <c r="B138" s="16"/>
      <c r="C138" s="16">
        <v>43860</v>
      </c>
      <c r="D138" s="16">
        <v>43860</v>
      </c>
    </row>
    <row r="139" spans="1:4" x14ac:dyDescent="0.3">
      <c r="A139" s="19" t="s">
        <v>218</v>
      </c>
      <c r="B139" s="16"/>
      <c r="C139" s="16">
        <v>43860</v>
      </c>
      <c r="D139" s="16">
        <v>43860</v>
      </c>
    </row>
    <row r="140" spans="1:4" x14ac:dyDescent="0.3">
      <c r="A140" s="17" t="s">
        <v>84</v>
      </c>
      <c r="B140" s="16">
        <v>197947</v>
      </c>
      <c r="C140" s="16"/>
      <c r="D140" s="16">
        <v>197947</v>
      </c>
    </row>
    <row r="141" spans="1:4" x14ac:dyDescent="0.3">
      <c r="A141" s="18" t="s">
        <v>85</v>
      </c>
      <c r="B141" s="16">
        <v>197947</v>
      </c>
      <c r="C141" s="16"/>
      <c r="D141" s="16">
        <v>197947</v>
      </c>
    </row>
    <row r="142" spans="1:4" x14ac:dyDescent="0.3">
      <c r="A142" s="19" t="s">
        <v>86</v>
      </c>
      <c r="B142" s="16">
        <v>81200</v>
      </c>
      <c r="C142" s="16"/>
      <c r="D142" s="16">
        <v>81200</v>
      </c>
    </row>
    <row r="143" spans="1:4" x14ac:dyDescent="0.3">
      <c r="A143" s="19" t="s">
        <v>87</v>
      </c>
      <c r="B143" s="16">
        <v>70247</v>
      </c>
      <c r="C143" s="16"/>
      <c r="D143" s="16">
        <v>70247</v>
      </c>
    </row>
    <row r="144" spans="1:4" x14ac:dyDescent="0.3">
      <c r="A144" s="19" t="s">
        <v>88</v>
      </c>
      <c r="B144" s="16">
        <v>46500</v>
      </c>
      <c r="C144" s="16"/>
      <c r="D144" s="16">
        <v>46500</v>
      </c>
    </row>
    <row r="145" spans="1:4" x14ac:dyDescent="0.3">
      <c r="A145" s="17" t="s">
        <v>215</v>
      </c>
      <c r="B145" s="16"/>
      <c r="C145" s="16">
        <v>132806</v>
      </c>
      <c r="D145" s="16">
        <v>132806</v>
      </c>
    </row>
    <row r="146" spans="1:4" x14ac:dyDescent="0.3">
      <c r="A146" s="18" t="s">
        <v>214</v>
      </c>
      <c r="B146" s="16"/>
      <c r="C146" s="16">
        <v>132806</v>
      </c>
      <c r="D146" s="16">
        <v>132806</v>
      </c>
    </row>
    <row r="147" spans="1:4" x14ac:dyDescent="0.3">
      <c r="A147" s="19" t="s">
        <v>33</v>
      </c>
      <c r="B147" s="16"/>
      <c r="C147" s="16">
        <v>132806</v>
      </c>
      <c r="D147" s="16">
        <v>132806</v>
      </c>
    </row>
    <row r="148" spans="1:4" x14ac:dyDescent="0.3">
      <c r="A148" s="17" t="s">
        <v>151</v>
      </c>
      <c r="B148" s="16">
        <v>7349</v>
      </c>
      <c r="C148" s="16">
        <v>7349</v>
      </c>
      <c r="D148" s="16">
        <v>14698</v>
      </c>
    </row>
    <row r="149" spans="1:4" x14ac:dyDescent="0.3">
      <c r="A149" s="18" t="s">
        <v>207</v>
      </c>
      <c r="B149" s="16"/>
      <c r="C149" s="16">
        <v>7349</v>
      </c>
      <c r="D149" s="16">
        <v>7349</v>
      </c>
    </row>
    <row r="150" spans="1:4" x14ac:dyDescent="0.3">
      <c r="A150" s="19" t="s">
        <v>153</v>
      </c>
      <c r="B150" s="16"/>
      <c r="C150" s="16">
        <v>7349</v>
      </c>
      <c r="D150" s="16">
        <v>7349</v>
      </c>
    </row>
    <row r="151" spans="1:4" x14ac:dyDescent="0.3">
      <c r="A151" s="18" t="s">
        <v>152</v>
      </c>
      <c r="B151" s="16">
        <v>7349</v>
      </c>
      <c r="C151" s="16"/>
      <c r="D151" s="16">
        <v>7349</v>
      </c>
    </row>
    <row r="152" spans="1:4" x14ac:dyDescent="0.3">
      <c r="A152" s="19" t="s">
        <v>153</v>
      </c>
      <c r="B152" s="16">
        <v>7349</v>
      </c>
      <c r="C152" s="16"/>
      <c r="D152" s="16">
        <v>7349</v>
      </c>
    </row>
    <row r="153" spans="1:4" x14ac:dyDescent="0.3">
      <c r="A153" s="17" t="s">
        <v>103</v>
      </c>
      <c r="B153" s="16">
        <v>6099</v>
      </c>
      <c r="C153" s="16">
        <v>6099</v>
      </c>
      <c r="D153" s="16">
        <v>12198</v>
      </c>
    </row>
    <row r="154" spans="1:4" x14ac:dyDescent="0.3">
      <c r="A154" s="18" t="s">
        <v>104</v>
      </c>
      <c r="B154" s="16">
        <v>6099</v>
      </c>
      <c r="C154" s="16"/>
      <c r="D154" s="16">
        <v>6099</v>
      </c>
    </row>
    <row r="155" spans="1:4" x14ac:dyDescent="0.3">
      <c r="A155" s="19" t="s">
        <v>105</v>
      </c>
      <c r="B155" s="16">
        <v>6099</v>
      </c>
      <c r="C155" s="16"/>
      <c r="D155" s="16">
        <v>6099</v>
      </c>
    </row>
    <row r="156" spans="1:4" x14ac:dyDescent="0.3">
      <c r="A156" s="18" t="s">
        <v>200</v>
      </c>
      <c r="B156" s="16"/>
      <c r="C156" s="16">
        <v>6099</v>
      </c>
      <c r="D156" s="16">
        <v>6099</v>
      </c>
    </row>
    <row r="157" spans="1:4" x14ac:dyDescent="0.3">
      <c r="A157" s="19" t="s">
        <v>105</v>
      </c>
      <c r="B157" s="16"/>
      <c r="C157" s="16">
        <v>6099</v>
      </c>
      <c r="D157" s="16">
        <v>6099</v>
      </c>
    </row>
    <row r="158" spans="1:4" x14ac:dyDescent="0.3">
      <c r="A158" s="17" t="s">
        <v>164</v>
      </c>
      <c r="B158" s="16">
        <v>16000</v>
      </c>
      <c r="C158" s="16">
        <v>16000</v>
      </c>
      <c r="D158" s="16">
        <v>32000</v>
      </c>
    </row>
    <row r="159" spans="1:4" x14ac:dyDescent="0.3">
      <c r="A159" s="18" t="s">
        <v>165</v>
      </c>
      <c r="B159" s="16">
        <v>16000</v>
      </c>
      <c r="C159" s="16">
        <v>16000</v>
      </c>
      <c r="D159" s="16">
        <v>32000</v>
      </c>
    </row>
    <row r="160" spans="1:4" x14ac:dyDescent="0.3">
      <c r="A160" s="19" t="s">
        <v>166</v>
      </c>
      <c r="B160" s="16">
        <v>16000</v>
      </c>
      <c r="C160" s="16">
        <v>16000</v>
      </c>
      <c r="D160" s="16">
        <v>32000</v>
      </c>
    </row>
    <row r="161" spans="1:4" x14ac:dyDescent="0.3">
      <c r="A161" s="17" t="s">
        <v>181</v>
      </c>
      <c r="B161" s="16">
        <v>22113</v>
      </c>
      <c r="C161" s="16">
        <v>22113</v>
      </c>
      <c r="D161" s="16">
        <v>44226</v>
      </c>
    </row>
    <row r="162" spans="1:4" x14ac:dyDescent="0.3">
      <c r="A162" s="18" t="s">
        <v>210</v>
      </c>
      <c r="B162" s="16"/>
      <c r="C162" s="16">
        <v>22113</v>
      </c>
      <c r="D162" s="16">
        <v>22113</v>
      </c>
    </row>
    <row r="163" spans="1:4" x14ac:dyDescent="0.3">
      <c r="A163" s="19" t="s">
        <v>183</v>
      </c>
      <c r="B163" s="16"/>
      <c r="C163" s="16">
        <v>22113</v>
      </c>
      <c r="D163" s="16">
        <v>22113</v>
      </c>
    </row>
    <row r="164" spans="1:4" x14ac:dyDescent="0.3">
      <c r="A164" s="18" t="s">
        <v>182</v>
      </c>
      <c r="B164" s="16">
        <v>22113</v>
      </c>
      <c r="C164" s="16"/>
      <c r="D164" s="16">
        <v>22113</v>
      </c>
    </row>
    <row r="165" spans="1:4" x14ac:dyDescent="0.3">
      <c r="A165" s="19" t="s">
        <v>183</v>
      </c>
      <c r="B165" s="16">
        <v>22113</v>
      </c>
      <c r="C165" s="16"/>
      <c r="D165" s="16">
        <v>22113</v>
      </c>
    </row>
    <row r="166" spans="1:4" x14ac:dyDescent="0.3">
      <c r="A166" s="17" t="s">
        <v>154</v>
      </c>
      <c r="B166" s="16">
        <v>344240</v>
      </c>
      <c r="C166" s="16">
        <v>344240</v>
      </c>
      <c r="D166" s="16">
        <v>688480</v>
      </c>
    </row>
    <row r="167" spans="1:4" x14ac:dyDescent="0.3">
      <c r="A167" s="18" t="s">
        <v>155</v>
      </c>
      <c r="B167" s="16">
        <v>344240</v>
      </c>
      <c r="C167" s="16">
        <v>344240</v>
      </c>
      <c r="D167" s="16">
        <v>688480</v>
      </c>
    </row>
    <row r="168" spans="1:4" x14ac:dyDescent="0.3">
      <c r="A168" s="19" t="s">
        <v>156</v>
      </c>
      <c r="B168" s="16">
        <v>49200</v>
      </c>
      <c r="C168" s="16">
        <v>49200</v>
      </c>
      <c r="D168" s="16">
        <v>98400</v>
      </c>
    </row>
    <row r="169" spans="1:4" x14ac:dyDescent="0.3">
      <c r="A169" s="19" t="s">
        <v>157</v>
      </c>
      <c r="B169" s="16">
        <v>49600</v>
      </c>
      <c r="C169" s="16">
        <v>49600</v>
      </c>
      <c r="D169" s="16">
        <v>99200</v>
      </c>
    </row>
    <row r="170" spans="1:4" x14ac:dyDescent="0.3">
      <c r="A170" s="19" t="s">
        <v>158</v>
      </c>
      <c r="B170" s="16">
        <v>48600</v>
      </c>
      <c r="C170" s="16">
        <v>48600</v>
      </c>
      <c r="D170" s="16">
        <v>97200</v>
      </c>
    </row>
    <row r="171" spans="1:4" x14ac:dyDescent="0.3">
      <c r="A171" s="19" t="s">
        <v>159</v>
      </c>
      <c r="B171" s="16">
        <v>49200</v>
      </c>
      <c r="C171" s="16">
        <v>49200</v>
      </c>
      <c r="D171" s="16">
        <v>98400</v>
      </c>
    </row>
    <row r="172" spans="1:4" x14ac:dyDescent="0.3">
      <c r="A172" s="19" t="s">
        <v>160</v>
      </c>
      <c r="B172" s="16">
        <v>49540</v>
      </c>
      <c r="C172" s="16">
        <v>49540</v>
      </c>
      <c r="D172" s="16">
        <v>99080</v>
      </c>
    </row>
    <row r="173" spans="1:4" x14ac:dyDescent="0.3">
      <c r="A173" s="19" t="s">
        <v>162</v>
      </c>
      <c r="B173" s="16">
        <v>49500</v>
      </c>
      <c r="C173" s="16">
        <v>49500</v>
      </c>
      <c r="D173" s="16">
        <v>99000</v>
      </c>
    </row>
    <row r="174" spans="1:4" x14ac:dyDescent="0.3">
      <c r="A174" s="19" t="s">
        <v>163</v>
      </c>
      <c r="B174" s="16">
        <v>48600</v>
      </c>
      <c r="C174" s="16"/>
      <c r="D174" s="16">
        <v>48600</v>
      </c>
    </row>
    <row r="175" spans="1:4" x14ac:dyDescent="0.3">
      <c r="A175" s="19" t="s">
        <v>211</v>
      </c>
      <c r="B175" s="16"/>
      <c r="C175" s="16">
        <v>48600</v>
      </c>
      <c r="D175" s="16">
        <v>48600</v>
      </c>
    </row>
    <row r="176" spans="1:4" x14ac:dyDescent="0.3">
      <c r="A176" s="17" t="s">
        <v>221</v>
      </c>
      <c r="B176" s="16"/>
      <c r="C176" s="16">
        <v>1010</v>
      </c>
      <c r="D176" s="16">
        <v>1010</v>
      </c>
    </row>
    <row r="177" spans="1:4" x14ac:dyDescent="0.3">
      <c r="A177" s="18" t="s">
        <v>219</v>
      </c>
      <c r="B177" s="16"/>
      <c r="C177" s="16">
        <v>1010</v>
      </c>
      <c r="D177" s="16">
        <v>1010</v>
      </c>
    </row>
    <row r="178" spans="1:4" x14ac:dyDescent="0.3">
      <c r="A178" s="19" t="s">
        <v>220</v>
      </c>
      <c r="B178" s="16"/>
      <c r="C178" s="16">
        <v>1010</v>
      </c>
      <c r="D178" s="16">
        <v>1010</v>
      </c>
    </row>
    <row r="179" spans="1:4" x14ac:dyDescent="0.3">
      <c r="A179" s="17" t="s">
        <v>27</v>
      </c>
      <c r="B179" s="16">
        <v>9750</v>
      </c>
      <c r="C179" s="16">
        <v>9750</v>
      </c>
      <c r="D179" s="16">
        <v>19500</v>
      </c>
    </row>
    <row r="180" spans="1:4" x14ac:dyDescent="0.3">
      <c r="A180" s="18" t="s">
        <v>28</v>
      </c>
      <c r="B180" s="16">
        <v>9750</v>
      </c>
      <c r="C180" s="16"/>
      <c r="D180" s="16">
        <v>9750</v>
      </c>
    </row>
    <row r="181" spans="1:4" x14ac:dyDescent="0.3">
      <c r="A181" s="19" t="s">
        <v>29</v>
      </c>
      <c r="B181" s="16">
        <v>9750</v>
      </c>
      <c r="C181" s="16"/>
      <c r="D181" s="16">
        <v>9750</v>
      </c>
    </row>
    <row r="182" spans="1:4" x14ac:dyDescent="0.3">
      <c r="A182" s="18" t="s">
        <v>202</v>
      </c>
      <c r="B182" s="16"/>
      <c r="C182" s="16">
        <v>9750</v>
      </c>
      <c r="D182" s="16">
        <v>9750</v>
      </c>
    </row>
    <row r="183" spans="1:4" x14ac:dyDescent="0.3">
      <c r="A183" s="19" t="s">
        <v>29</v>
      </c>
      <c r="B183" s="16"/>
      <c r="C183" s="16">
        <v>9750</v>
      </c>
      <c r="D183" s="16">
        <v>9750</v>
      </c>
    </row>
    <row r="184" spans="1:4" x14ac:dyDescent="0.3">
      <c r="A184" s="17" t="s">
        <v>173</v>
      </c>
      <c r="B184" s="16">
        <v>49071</v>
      </c>
      <c r="C184" s="16">
        <v>49071</v>
      </c>
      <c r="D184" s="16">
        <v>98142</v>
      </c>
    </row>
    <row r="185" spans="1:4" x14ac:dyDescent="0.3">
      <c r="A185" s="18" t="s">
        <v>174</v>
      </c>
      <c r="B185" s="16">
        <v>49071</v>
      </c>
      <c r="C185" s="16"/>
      <c r="D185" s="16">
        <v>49071</v>
      </c>
    </row>
    <row r="186" spans="1:4" x14ac:dyDescent="0.3">
      <c r="A186" s="19" t="s">
        <v>175</v>
      </c>
      <c r="B186" s="16">
        <v>4439</v>
      </c>
      <c r="C186" s="16"/>
      <c r="D186" s="16">
        <v>4439</v>
      </c>
    </row>
    <row r="187" spans="1:4" x14ac:dyDescent="0.3">
      <c r="A187" s="19" t="s">
        <v>176</v>
      </c>
      <c r="B187" s="16">
        <v>44632</v>
      </c>
      <c r="C187" s="16"/>
      <c r="D187" s="16">
        <v>44632</v>
      </c>
    </row>
    <row r="188" spans="1:4" x14ac:dyDescent="0.3">
      <c r="A188" s="18" t="s">
        <v>188</v>
      </c>
      <c r="B188" s="16"/>
      <c r="C188" s="16">
        <v>49071</v>
      </c>
      <c r="D188" s="16">
        <v>49071</v>
      </c>
    </row>
    <row r="189" spans="1:4" x14ac:dyDescent="0.3">
      <c r="A189" s="19" t="s">
        <v>175</v>
      </c>
      <c r="B189" s="16"/>
      <c r="C189" s="16">
        <v>4439</v>
      </c>
      <c r="D189" s="16">
        <v>4439</v>
      </c>
    </row>
    <row r="190" spans="1:4" x14ac:dyDescent="0.3">
      <c r="A190" s="19" t="s">
        <v>176</v>
      </c>
      <c r="B190" s="16"/>
      <c r="C190" s="16">
        <v>44632</v>
      </c>
      <c r="D190" s="16">
        <v>44632</v>
      </c>
    </row>
    <row r="191" spans="1:4" x14ac:dyDescent="0.3">
      <c r="A191" s="17" t="s">
        <v>140</v>
      </c>
      <c r="B191" s="16">
        <v>36299</v>
      </c>
      <c r="C191" s="16">
        <v>36299</v>
      </c>
      <c r="D191" s="16">
        <v>72598</v>
      </c>
    </row>
    <row r="192" spans="1:4" x14ac:dyDescent="0.3">
      <c r="A192" s="18" t="s">
        <v>141</v>
      </c>
      <c r="B192" s="16">
        <v>36299</v>
      </c>
      <c r="C192" s="16">
        <v>36299</v>
      </c>
      <c r="D192" s="16">
        <v>72598</v>
      </c>
    </row>
    <row r="193" spans="1:4" x14ac:dyDescent="0.3">
      <c r="A193" s="19" t="s">
        <v>142</v>
      </c>
      <c r="B193" s="16">
        <v>36299</v>
      </c>
      <c r="C193" s="16">
        <v>36299</v>
      </c>
      <c r="D193" s="16">
        <v>72598</v>
      </c>
    </row>
    <row r="194" spans="1:4" x14ac:dyDescent="0.3">
      <c r="A194" s="17" t="s">
        <v>137</v>
      </c>
      <c r="B194" s="16">
        <v>27056</v>
      </c>
      <c r="C194" s="16">
        <v>27056</v>
      </c>
      <c r="D194" s="16">
        <v>54112</v>
      </c>
    </row>
    <row r="195" spans="1:4" x14ac:dyDescent="0.3">
      <c r="A195" s="18" t="s">
        <v>138</v>
      </c>
      <c r="B195" s="16">
        <v>27056</v>
      </c>
      <c r="C195" s="16"/>
      <c r="D195" s="16">
        <v>27056</v>
      </c>
    </row>
    <row r="196" spans="1:4" x14ac:dyDescent="0.3">
      <c r="A196" s="19" t="s">
        <v>139</v>
      </c>
      <c r="B196" s="16">
        <v>27056</v>
      </c>
      <c r="C196" s="16"/>
      <c r="D196" s="16">
        <v>27056</v>
      </c>
    </row>
    <row r="197" spans="1:4" x14ac:dyDescent="0.3">
      <c r="A197" s="18" t="s">
        <v>208</v>
      </c>
      <c r="B197" s="16"/>
      <c r="C197" s="16">
        <v>27056</v>
      </c>
      <c r="D197" s="16">
        <v>27056</v>
      </c>
    </row>
    <row r="198" spans="1:4" x14ac:dyDescent="0.3">
      <c r="A198" s="19" t="s">
        <v>139</v>
      </c>
      <c r="B198" s="16"/>
      <c r="C198" s="16">
        <v>27056</v>
      </c>
      <c r="D198" s="16">
        <v>27056</v>
      </c>
    </row>
    <row r="199" spans="1:4" x14ac:dyDescent="0.3">
      <c r="A199" s="17" t="s">
        <v>184</v>
      </c>
      <c r="B199" s="16">
        <v>8280.02</v>
      </c>
      <c r="C199" s="16">
        <v>8280</v>
      </c>
      <c r="D199" s="16">
        <v>16560.02</v>
      </c>
    </row>
    <row r="200" spans="1:4" x14ac:dyDescent="0.3">
      <c r="A200" s="18" t="s">
        <v>206</v>
      </c>
      <c r="B200" s="16"/>
      <c r="C200" s="16">
        <v>8280</v>
      </c>
      <c r="D200" s="16">
        <v>8280</v>
      </c>
    </row>
    <row r="201" spans="1:4" x14ac:dyDescent="0.3">
      <c r="A201" s="19" t="s">
        <v>186</v>
      </c>
      <c r="B201" s="16"/>
      <c r="C201" s="16">
        <v>8280</v>
      </c>
      <c r="D201" s="16">
        <v>8280</v>
      </c>
    </row>
    <row r="202" spans="1:4" x14ac:dyDescent="0.3">
      <c r="A202" s="18" t="s">
        <v>185</v>
      </c>
      <c r="B202" s="16">
        <v>8280.02</v>
      </c>
      <c r="C202" s="16"/>
      <c r="D202" s="16">
        <v>8280.02</v>
      </c>
    </row>
    <row r="203" spans="1:4" x14ac:dyDescent="0.3">
      <c r="A203" s="19" t="s">
        <v>186</v>
      </c>
      <c r="B203" s="16">
        <v>8280.02</v>
      </c>
      <c r="C203" s="16"/>
      <c r="D203" s="16">
        <v>8280.02</v>
      </c>
    </row>
    <row r="204" spans="1:4" x14ac:dyDescent="0.3">
      <c r="A204" s="17" t="s">
        <v>134</v>
      </c>
      <c r="B204" s="16">
        <v>14308</v>
      </c>
      <c r="C204" s="16">
        <v>14308</v>
      </c>
      <c r="D204" s="16">
        <v>28616</v>
      </c>
    </row>
    <row r="205" spans="1:4" x14ac:dyDescent="0.3">
      <c r="A205" s="18" t="s">
        <v>135</v>
      </c>
      <c r="B205" s="16">
        <v>14308</v>
      </c>
      <c r="C205" s="16"/>
      <c r="D205" s="16">
        <v>14308</v>
      </c>
    </row>
    <row r="206" spans="1:4" x14ac:dyDescent="0.3">
      <c r="A206" s="19" t="s">
        <v>136</v>
      </c>
      <c r="B206" s="16">
        <v>14308</v>
      </c>
      <c r="C206" s="16"/>
      <c r="D206" s="16">
        <v>14308</v>
      </c>
    </row>
    <row r="207" spans="1:4" x14ac:dyDescent="0.3">
      <c r="A207" s="18" t="s">
        <v>212</v>
      </c>
      <c r="B207" s="16"/>
      <c r="C207" s="16">
        <v>14308</v>
      </c>
      <c r="D207" s="16">
        <v>14308</v>
      </c>
    </row>
    <row r="208" spans="1:4" x14ac:dyDescent="0.3">
      <c r="A208" s="19" t="s">
        <v>213</v>
      </c>
      <c r="B208" s="16"/>
      <c r="C208" s="16">
        <v>14308</v>
      </c>
      <c r="D208" s="16">
        <v>14308</v>
      </c>
    </row>
    <row r="209" spans="1:4" x14ac:dyDescent="0.3">
      <c r="A209" s="17" t="s">
        <v>81</v>
      </c>
      <c r="B209" s="16">
        <v>5942</v>
      </c>
      <c r="C209" s="16">
        <v>5942</v>
      </c>
      <c r="D209" s="16">
        <v>11884</v>
      </c>
    </row>
    <row r="210" spans="1:4" x14ac:dyDescent="0.3">
      <c r="A210" s="18" t="s">
        <v>82</v>
      </c>
      <c r="B210" s="16">
        <v>5942</v>
      </c>
      <c r="C210" s="16">
        <v>5942</v>
      </c>
      <c r="D210" s="16">
        <v>11884</v>
      </c>
    </row>
    <row r="211" spans="1:4" x14ac:dyDescent="0.3">
      <c r="A211" s="19" t="s">
        <v>83</v>
      </c>
      <c r="B211" s="16">
        <v>5942</v>
      </c>
      <c r="C211" s="16">
        <v>5942</v>
      </c>
      <c r="D211" s="16">
        <v>11884</v>
      </c>
    </row>
    <row r="212" spans="1:4" x14ac:dyDescent="0.3">
      <c r="A212" s="17" t="s">
        <v>109</v>
      </c>
      <c r="B212" s="16">
        <v>5880</v>
      </c>
      <c r="C212" s="16">
        <v>5880</v>
      </c>
      <c r="D212" s="16">
        <v>11760</v>
      </c>
    </row>
    <row r="213" spans="1:4" x14ac:dyDescent="0.3">
      <c r="A213" s="18" t="s">
        <v>199</v>
      </c>
      <c r="B213" s="16"/>
      <c r="C213" s="16">
        <v>5880</v>
      </c>
      <c r="D213" s="16">
        <v>5880</v>
      </c>
    </row>
    <row r="214" spans="1:4" x14ac:dyDescent="0.3">
      <c r="A214" s="19" t="s">
        <v>111</v>
      </c>
      <c r="B214" s="16"/>
      <c r="C214" s="16">
        <v>5880</v>
      </c>
      <c r="D214" s="16">
        <v>5880</v>
      </c>
    </row>
    <row r="215" spans="1:4" x14ac:dyDescent="0.3">
      <c r="A215" s="18" t="s">
        <v>110</v>
      </c>
      <c r="B215" s="16">
        <v>5880</v>
      </c>
      <c r="C215" s="16"/>
      <c r="D215" s="16">
        <v>5880</v>
      </c>
    </row>
    <row r="216" spans="1:4" x14ac:dyDescent="0.3">
      <c r="A216" s="19" t="s">
        <v>111</v>
      </c>
      <c r="B216" s="16">
        <v>5880</v>
      </c>
      <c r="C216" s="16"/>
      <c r="D216" s="16">
        <v>5880</v>
      </c>
    </row>
    <row r="217" spans="1:4" x14ac:dyDescent="0.3">
      <c r="A217" s="17" t="s">
        <v>126</v>
      </c>
      <c r="B217" s="16">
        <v>48207</v>
      </c>
      <c r="C217" s="16">
        <v>48207</v>
      </c>
      <c r="D217" s="16">
        <v>96414</v>
      </c>
    </row>
    <row r="218" spans="1:4" x14ac:dyDescent="0.3">
      <c r="A218" s="18" t="s">
        <v>189</v>
      </c>
      <c r="B218" s="16"/>
      <c r="C218" s="16">
        <v>48207</v>
      </c>
      <c r="D218" s="16">
        <v>48207</v>
      </c>
    </row>
    <row r="219" spans="1:4" x14ac:dyDescent="0.3">
      <c r="A219" s="19" t="s">
        <v>128</v>
      </c>
      <c r="B219" s="16"/>
      <c r="C219" s="16">
        <v>48207</v>
      </c>
      <c r="D219" s="16">
        <v>48207</v>
      </c>
    </row>
    <row r="220" spans="1:4" x14ac:dyDescent="0.3">
      <c r="A220" s="18" t="s">
        <v>127</v>
      </c>
      <c r="B220" s="16">
        <v>48207</v>
      </c>
      <c r="C220" s="16"/>
      <c r="D220" s="16">
        <v>48207</v>
      </c>
    </row>
    <row r="221" spans="1:4" x14ac:dyDescent="0.3">
      <c r="A221" s="19" t="s">
        <v>128</v>
      </c>
      <c r="B221" s="16">
        <v>48207</v>
      </c>
      <c r="C221" s="16"/>
      <c r="D221" s="16">
        <v>48207</v>
      </c>
    </row>
    <row r="222" spans="1:4" x14ac:dyDescent="0.3">
      <c r="A222" s="17" t="s">
        <v>193</v>
      </c>
      <c r="B222" s="16"/>
      <c r="C222" s="16">
        <v>58784</v>
      </c>
      <c r="D222" s="16">
        <v>58784</v>
      </c>
    </row>
    <row r="223" spans="1:4" x14ac:dyDescent="0.3">
      <c r="A223" s="18" t="s">
        <v>75</v>
      </c>
      <c r="B223" s="16"/>
      <c r="C223" s="16">
        <v>58784</v>
      </c>
      <c r="D223" s="16">
        <v>58784</v>
      </c>
    </row>
    <row r="224" spans="1:4" x14ac:dyDescent="0.3">
      <c r="A224" s="19" t="s">
        <v>76</v>
      </c>
      <c r="B224" s="16"/>
      <c r="C224" s="16">
        <v>58784</v>
      </c>
      <c r="D224" s="16">
        <v>58784</v>
      </c>
    </row>
    <row r="225" spans="1:4" x14ac:dyDescent="0.3">
      <c r="A225" s="17" t="s">
        <v>222</v>
      </c>
      <c r="B225" s="16">
        <v>2282872.12</v>
      </c>
      <c r="C225" s="16">
        <v>1754968.74</v>
      </c>
      <c r="D225" s="16">
        <v>4037840.86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3A39-08ED-4454-BD3A-E4942ACE2DB7}">
  <dimension ref="A3:D456"/>
  <sheetViews>
    <sheetView tabSelected="1" workbookViewId="0">
      <selection activeCell="D4" sqref="D4:D456"/>
      <pivotSelection pane="bottomRight" showHeader="1" extendable="1" axis="axisCol" start="2" max="3" activeRow="3" activeCol="3" previousRow="3" previousCol="3" click="1" r:id="rId1">
        <pivotArea dataOnly="0" grandCol="1" outline="0" fieldPosition="0"/>
      </pivotSelection>
    </sheetView>
  </sheetViews>
  <sheetFormatPr defaultRowHeight="14.4" x14ac:dyDescent="0.3"/>
  <cols>
    <col min="1" max="1" width="53.21875" bestFit="1" customWidth="1"/>
    <col min="2" max="2" width="15.5546875" bestFit="1" customWidth="1"/>
    <col min="3" max="4" width="11" bestFit="1" customWidth="1"/>
  </cols>
  <sheetData>
    <row r="3" spans="1:4" x14ac:dyDescent="0.3">
      <c r="A3" s="11" t="s">
        <v>226</v>
      </c>
      <c r="B3" s="11" t="s">
        <v>229</v>
      </c>
    </row>
    <row r="4" spans="1:4" x14ac:dyDescent="0.3">
      <c r="A4" s="11" t="s">
        <v>228</v>
      </c>
      <c r="B4" t="s">
        <v>224</v>
      </c>
      <c r="C4" t="s">
        <v>225</v>
      </c>
      <c r="D4" t="s">
        <v>222</v>
      </c>
    </row>
    <row r="5" spans="1:4" x14ac:dyDescent="0.3">
      <c r="A5" s="17" t="s">
        <v>78</v>
      </c>
      <c r="B5" s="16">
        <v>117675.74</v>
      </c>
      <c r="C5" s="16">
        <v>117675.74</v>
      </c>
      <c r="D5" s="16">
        <v>235351.48</v>
      </c>
    </row>
    <row r="6" spans="1:4" x14ac:dyDescent="0.3">
      <c r="A6" s="18" t="s">
        <v>18</v>
      </c>
      <c r="B6" s="16">
        <v>117675.74</v>
      </c>
      <c r="C6" s="16"/>
      <c r="D6" s="16">
        <v>117675.74</v>
      </c>
    </row>
    <row r="7" spans="1:4" x14ac:dyDescent="0.3">
      <c r="A7" s="19" t="s">
        <v>79</v>
      </c>
      <c r="B7" s="16">
        <v>117675.74</v>
      </c>
      <c r="C7" s="16"/>
      <c r="D7" s="16">
        <v>117675.74</v>
      </c>
    </row>
    <row r="8" spans="1:4" x14ac:dyDescent="0.3">
      <c r="A8" s="24" t="s">
        <v>80</v>
      </c>
      <c r="B8" s="16">
        <v>117675.74</v>
      </c>
      <c r="C8" s="16"/>
      <c r="D8" s="16">
        <v>117675.74</v>
      </c>
    </row>
    <row r="9" spans="1:4" x14ac:dyDescent="0.3">
      <c r="A9" s="25">
        <v>46021</v>
      </c>
      <c r="B9" s="16"/>
      <c r="C9" s="16">
        <v>117675.74</v>
      </c>
      <c r="D9" s="16">
        <v>117675.74</v>
      </c>
    </row>
    <row r="10" spans="1:4" x14ac:dyDescent="0.3">
      <c r="A10" s="19" t="s">
        <v>79</v>
      </c>
      <c r="B10" s="16"/>
      <c r="C10" s="16">
        <v>117675.74</v>
      </c>
      <c r="D10" s="16">
        <v>117675.74</v>
      </c>
    </row>
    <row r="11" spans="1:4" x14ac:dyDescent="0.3">
      <c r="A11" s="24" t="s">
        <v>80</v>
      </c>
      <c r="B11" s="16"/>
      <c r="C11" s="16">
        <v>117675.74</v>
      </c>
      <c r="D11" s="16">
        <v>117675.74</v>
      </c>
    </row>
    <row r="12" spans="1:4" x14ac:dyDescent="0.3">
      <c r="A12" s="17" t="s">
        <v>74</v>
      </c>
      <c r="B12" s="16">
        <v>58784</v>
      </c>
      <c r="C12" s="16"/>
      <c r="D12" s="16">
        <v>58784</v>
      </c>
    </row>
    <row r="13" spans="1:4" x14ac:dyDescent="0.3">
      <c r="A13" s="18" t="s">
        <v>77</v>
      </c>
      <c r="B13" s="16">
        <v>58784</v>
      </c>
      <c r="C13" s="16"/>
      <c r="D13" s="16">
        <v>58784</v>
      </c>
    </row>
    <row r="14" spans="1:4" x14ac:dyDescent="0.3">
      <c r="A14" s="19" t="s">
        <v>75</v>
      </c>
      <c r="B14" s="16">
        <v>58784</v>
      </c>
      <c r="C14" s="16"/>
      <c r="D14" s="16">
        <v>58784</v>
      </c>
    </row>
    <row r="15" spans="1:4" x14ac:dyDescent="0.3">
      <c r="A15" s="24" t="s">
        <v>76</v>
      </c>
      <c r="B15" s="16">
        <v>58784</v>
      </c>
      <c r="C15" s="16"/>
      <c r="D15" s="16">
        <v>58784</v>
      </c>
    </row>
    <row r="16" spans="1:4" x14ac:dyDescent="0.3">
      <c r="A16" s="17" t="s">
        <v>143</v>
      </c>
      <c r="B16" s="16">
        <v>154414.76</v>
      </c>
      <c r="C16" s="16">
        <v>154415</v>
      </c>
      <c r="D16" s="16">
        <v>308829.76</v>
      </c>
    </row>
    <row r="17" spans="1:4" x14ac:dyDescent="0.3">
      <c r="A17" s="18" t="s">
        <v>129</v>
      </c>
      <c r="B17" s="16">
        <v>21515.759999999998</v>
      </c>
      <c r="C17" s="16"/>
      <c r="D17" s="16">
        <v>21515.759999999998</v>
      </c>
    </row>
    <row r="18" spans="1:4" x14ac:dyDescent="0.3">
      <c r="A18" s="19" t="s">
        <v>144</v>
      </c>
      <c r="B18" s="16">
        <v>21515.759999999998</v>
      </c>
      <c r="C18" s="16"/>
      <c r="D18" s="16">
        <v>21515.759999999998</v>
      </c>
    </row>
    <row r="19" spans="1:4" x14ac:dyDescent="0.3">
      <c r="A19" s="24" t="s">
        <v>145</v>
      </c>
      <c r="B19" s="16">
        <v>21515.759999999998</v>
      </c>
      <c r="C19" s="16"/>
      <c r="D19" s="16">
        <v>21515.759999999998</v>
      </c>
    </row>
    <row r="20" spans="1:4" x14ac:dyDescent="0.3">
      <c r="A20" s="18" t="s">
        <v>147</v>
      </c>
      <c r="B20" s="16">
        <v>40959.68</v>
      </c>
      <c r="C20" s="16"/>
      <c r="D20" s="16">
        <v>40959.68</v>
      </c>
    </row>
    <row r="21" spans="1:4" x14ac:dyDescent="0.3">
      <c r="A21" s="19" t="s">
        <v>144</v>
      </c>
      <c r="B21" s="16">
        <v>40959.68</v>
      </c>
      <c r="C21" s="16"/>
      <c r="D21" s="16">
        <v>40959.68</v>
      </c>
    </row>
    <row r="22" spans="1:4" x14ac:dyDescent="0.3">
      <c r="A22" s="24" t="s">
        <v>146</v>
      </c>
      <c r="B22" s="16">
        <v>40959.68</v>
      </c>
      <c r="C22" s="16"/>
      <c r="D22" s="16">
        <v>40959.68</v>
      </c>
    </row>
    <row r="23" spans="1:4" x14ac:dyDescent="0.3">
      <c r="A23" s="18" t="s">
        <v>95</v>
      </c>
      <c r="B23" s="16">
        <v>25014.42</v>
      </c>
      <c r="C23" s="16"/>
      <c r="D23" s="16">
        <v>25014.42</v>
      </c>
    </row>
    <row r="24" spans="1:4" x14ac:dyDescent="0.3">
      <c r="A24" s="19" t="s">
        <v>144</v>
      </c>
      <c r="B24" s="16">
        <v>25014.42</v>
      </c>
      <c r="C24" s="16"/>
      <c r="D24" s="16">
        <v>25014.42</v>
      </c>
    </row>
    <row r="25" spans="1:4" x14ac:dyDescent="0.3">
      <c r="A25" s="24" t="s">
        <v>148</v>
      </c>
      <c r="B25" s="16">
        <v>25014.42</v>
      </c>
      <c r="C25" s="16"/>
      <c r="D25" s="16">
        <v>25014.42</v>
      </c>
    </row>
    <row r="26" spans="1:4" x14ac:dyDescent="0.3">
      <c r="A26" s="18" t="s">
        <v>14</v>
      </c>
      <c r="B26" s="16">
        <v>26811.5</v>
      </c>
      <c r="C26" s="16"/>
      <c r="D26" s="16">
        <v>26811.5</v>
      </c>
    </row>
    <row r="27" spans="1:4" x14ac:dyDescent="0.3">
      <c r="A27" s="19" t="s">
        <v>144</v>
      </c>
      <c r="B27" s="16">
        <v>26811.5</v>
      </c>
      <c r="C27" s="16"/>
      <c r="D27" s="16">
        <v>26811.5</v>
      </c>
    </row>
    <row r="28" spans="1:4" x14ac:dyDescent="0.3">
      <c r="A28" s="24" t="s">
        <v>149</v>
      </c>
      <c r="B28" s="16">
        <v>26811.5</v>
      </c>
      <c r="C28" s="16"/>
      <c r="D28" s="16">
        <v>26811.5</v>
      </c>
    </row>
    <row r="29" spans="1:4" x14ac:dyDescent="0.3">
      <c r="A29" s="18" t="s">
        <v>34</v>
      </c>
      <c r="B29" s="16">
        <v>40113.4</v>
      </c>
      <c r="C29" s="16"/>
      <c r="D29" s="16">
        <v>40113.4</v>
      </c>
    </row>
    <row r="30" spans="1:4" x14ac:dyDescent="0.3">
      <c r="A30" s="19" t="s">
        <v>144</v>
      </c>
      <c r="B30" s="16">
        <v>40113.4</v>
      </c>
      <c r="C30" s="16"/>
      <c r="D30" s="16">
        <v>40113.4</v>
      </c>
    </row>
    <row r="31" spans="1:4" x14ac:dyDescent="0.3">
      <c r="A31" s="24" t="s">
        <v>150</v>
      </c>
      <c r="B31" s="16">
        <v>40113.4</v>
      </c>
      <c r="C31" s="16"/>
      <c r="D31" s="16">
        <v>40113.4</v>
      </c>
    </row>
    <row r="32" spans="1:4" x14ac:dyDescent="0.3">
      <c r="A32" s="25">
        <v>45993</v>
      </c>
      <c r="B32" s="16"/>
      <c r="C32" s="16">
        <v>21516</v>
      </c>
      <c r="D32" s="16">
        <v>21516</v>
      </c>
    </row>
    <row r="33" spans="1:4" x14ac:dyDescent="0.3">
      <c r="A33" s="19" t="s">
        <v>190</v>
      </c>
      <c r="B33" s="16"/>
      <c r="C33" s="16">
        <v>21516</v>
      </c>
      <c r="D33" s="16">
        <v>21516</v>
      </c>
    </row>
    <row r="34" spans="1:4" x14ac:dyDescent="0.3">
      <c r="A34" s="24" t="s">
        <v>145</v>
      </c>
      <c r="B34" s="16"/>
      <c r="C34" s="16">
        <v>21516</v>
      </c>
      <c r="D34" s="16">
        <v>21516</v>
      </c>
    </row>
    <row r="35" spans="1:4" x14ac:dyDescent="0.3">
      <c r="A35" s="25">
        <v>46001</v>
      </c>
      <c r="B35" s="16"/>
      <c r="C35" s="16">
        <v>40960</v>
      </c>
      <c r="D35" s="16">
        <v>40960</v>
      </c>
    </row>
    <row r="36" spans="1:4" x14ac:dyDescent="0.3">
      <c r="A36" s="19" t="s">
        <v>190</v>
      </c>
      <c r="B36" s="16"/>
      <c r="C36" s="16">
        <v>40960</v>
      </c>
      <c r="D36" s="16">
        <v>40960</v>
      </c>
    </row>
    <row r="37" spans="1:4" x14ac:dyDescent="0.3">
      <c r="A37" s="24" t="s">
        <v>146</v>
      </c>
      <c r="B37" s="16"/>
      <c r="C37" s="16">
        <v>40960</v>
      </c>
      <c r="D37" s="16">
        <v>40960</v>
      </c>
    </row>
    <row r="38" spans="1:4" x14ac:dyDescent="0.3">
      <c r="A38" s="25">
        <v>46007</v>
      </c>
      <c r="B38" s="16"/>
      <c r="C38" s="16">
        <v>25014</v>
      </c>
      <c r="D38" s="16">
        <v>25014</v>
      </c>
    </row>
    <row r="39" spans="1:4" x14ac:dyDescent="0.3">
      <c r="A39" s="19" t="s">
        <v>190</v>
      </c>
      <c r="B39" s="16"/>
      <c r="C39" s="16">
        <v>25014</v>
      </c>
      <c r="D39" s="16">
        <v>25014</v>
      </c>
    </row>
    <row r="40" spans="1:4" x14ac:dyDescent="0.3">
      <c r="A40" s="24" t="s">
        <v>148</v>
      </c>
      <c r="B40" s="16"/>
      <c r="C40" s="16">
        <v>25014</v>
      </c>
      <c r="D40" s="16">
        <v>25014</v>
      </c>
    </row>
    <row r="41" spans="1:4" x14ac:dyDescent="0.3">
      <c r="A41" s="25">
        <v>46014</v>
      </c>
      <c r="B41" s="16"/>
      <c r="C41" s="16">
        <v>26812</v>
      </c>
      <c r="D41" s="16">
        <v>26812</v>
      </c>
    </row>
    <row r="42" spans="1:4" x14ac:dyDescent="0.3">
      <c r="A42" s="19" t="s">
        <v>190</v>
      </c>
      <c r="B42" s="16"/>
      <c r="C42" s="16">
        <v>26812</v>
      </c>
      <c r="D42" s="16">
        <v>26812</v>
      </c>
    </row>
    <row r="43" spans="1:4" x14ac:dyDescent="0.3">
      <c r="A43" s="24" t="s">
        <v>149</v>
      </c>
      <c r="B43" s="16"/>
      <c r="C43" s="16">
        <v>26812</v>
      </c>
      <c r="D43" s="16">
        <v>26812</v>
      </c>
    </row>
    <row r="44" spans="1:4" x14ac:dyDescent="0.3">
      <c r="A44" s="25">
        <v>46018</v>
      </c>
      <c r="B44" s="16"/>
      <c r="C44" s="16">
        <v>40113</v>
      </c>
      <c r="D44" s="16">
        <v>40113</v>
      </c>
    </row>
    <row r="45" spans="1:4" x14ac:dyDescent="0.3">
      <c r="A45" s="19" t="s">
        <v>190</v>
      </c>
      <c r="B45" s="16"/>
      <c r="C45" s="16">
        <v>40113</v>
      </c>
      <c r="D45" s="16">
        <v>40113</v>
      </c>
    </row>
    <row r="46" spans="1:4" x14ac:dyDescent="0.3">
      <c r="A46" s="24" t="s">
        <v>150</v>
      </c>
      <c r="B46" s="16"/>
      <c r="C46" s="16">
        <v>40113</v>
      </c>
      <c r="D46" s="16">
        <v>40113</v>
      </c>
    </row>
    <row r="47" spans="1:4" x14ac:dyDescent="0.3">
      <c r="A47" s="17" t="s">
        <v>90</v>
      </c>
      <c r="B47" s="16">
        <v>39600</v>
      </c>
      <c r="C47" s="16">
        <v>24200</v>
      </c>
      <c r="D47" s="16">
        <v>63800</v>
      </c>
    </row>
    <row r="48" spans="1:4" x14ac:dyDescent="0.3">
      <c r="A48" s="18" t="s">
        <v>77</v>
      </c>
      <c r="B48" s="16">
        <v>15400</v>
      </c>
      <c r="C48" s="16"/>
      <c r="D48" s="16">
        <v>15400</v>
      </c>
    </row>
    <row r="49" spans="1:4" x14ac:dyDescent="0.3">
      <c r="A49" s="19" t="s">
        <v>91</v>
      </c>
      <c r="B49" s="16">
        <v>15400</v>
      </c>
      <c r="C49" s="16"/>
      <c r="D49" s="16">
        <v>15400</v>
      </c>
    </row>
    <row r="50" spans="1:4" x14ac:dyDescent="0.3">
      <c r="A50" s="24" t="s">
        <v>92</v>
      </c>
      <c r="B50" s="16">
        <v>15400</v>
      </c>
      <c r="C50" s="16"/>
      <c r="D50" s="16">
        <v>15400</v>
      </c>
    </row>
    <row r="51" spans="1:4" x14ac:dyDescent="0.3">
      <c r="A51" s="18" t="s">
        <v>48</v>
      </c>
      <c r="B51" s="16">
        <v>19800</v>
      </c>
      <c r="C51" s="16"/>
      <c r="D51" s="16">
        <v>19800</v>
      </c>
    </row>
    <row r="52" spans="1:4" x14ac:dyDescent="0.3">
      <c r="A52" s="19" t="s">
        <v>91</v>
      </c>
      <c r="B52" s="16">
        <v>19800</v>
      </c>
      <c r="C52" s="16"/>
      <c r="D52" s="16">
        <v>19800</v>
      </c>
    </row>
    <row r="53" spans="1:4" x14ac:dyDescent="0.3">
      <c r="A53" s="24" t="s">
        <v>93</v>
      </c>
      <c r="B53" s="16">
        <v>19800</v>
      </c>
      <c r="C53" s="16"/>
      <c r="D53" s="16">
        <v>19800</v>
      </c>
    </row>
    <row r="54" spans="1:4" x14ac:dyDescent="0.3">
      <c r="A54" s="18" t="s">
        <v>95</v>
      </c>
      <c r="B54" s="16">
        <v>4400</v>
      </c>
      <c r="C54" s="16"/>
      <c r="D54" s="16">
        <v>4400</v>
      </c>
    </row>
    <row r="55" spans="1:4" x14ac:dyDescent="0.3">
      <c r="A55" s="19" t="s">
        <v>91</v>
      </c>
      <c r="B55" s="16">
        <v>4400</v>
      </c>
      <c r="C55" s="16"/>
      <c r="D55" s="16">
        <v>4400</v>
      </c>
    </row>
    <row r="56" spans="1:4" x14ac:dyDescent="0.3">
      <c r="A56" s="24" t="s">
        <v>94</v>
      </c>
      <c r="B56" s="16">
        <v>4400</v>
      </c>
      <c r="C56" s="16"/>
      <c r="D56" s="16">
        <v>4400</v>
      </c>
    </row>
    <row r="57" spans="1:4" x14ac:dyDescent="0.3">
      <c r="A57" s="25">
        <v>46003</v>
      </c>
      <c r="B57" s="16"/>
      <c r="C57" s="16">
        <v>19800</v>
      </c>
      <c r="D57" s="16">
        <v>19800</v>
      </c>
    </row>
    <row r="58" spans="1:4" x14ac:dyDescent="0.3">
      <c r="A58" s="19" t="s">
        <v>198</v>
      </c>
      <c r="B58" s="16"/>
      <c r="C58" s="16">
        <v>19800</v>
      </c>
      <c r="D58" s="16">
        <v>19800</v>
      </c>
    </row>
    <row r="59" spans="1:4" x14ac:dyDescent="0.3">
      <c r="A59" s="24" t="s">
        <v>93</v>
      </c>
      <c r="B59" s="16"/>
      <c r="C59" s="16">
        <v>19800</v>
      </c>
      <c r="D59" s="16">
        <v>19800</v>
      </c>
    </row>
    <row r="60" spans="1:4" x14ac:dyDescent="0.3">
      <c r="A60" s="25">
        <v>46007</v>
      </c>
      <c r="B60" s="16"/>
      <c r="C60" s="16">
        <v>4400</v>
      </c>
      <c r="D60" s="16">
        <v>4400</v>
      </c>
    </row>
    <row r="61" spans="1:4" x14ac:dyDescent="0.3">
      <c r="A61" s="19" t="s">
        <v>198</v>
      </c>
      <c r="B61" s="16"/>
      <c r="C61" s="16">
        <v>4400</v>
      </c>
      <c r="D61" s="16">
        <v>4400</v>
      </c>
    </row>
    <row r="62" spans="1:4" x14ac:dyDescent="0.3">
      <c r="A62" s="24" t="s">
        <v>94</v>
      </c>
      <c r="B62" s="16"/>
      <c r="C62" s="16">
        <v>4400</v>
      </c>
      <c r="D62" s="16">
        <v>4400</v>
      </c>
    </row>
    <row r="63" spans="1:4" x14ac:dyDescent="0.3">
      <c r="A63" s="17" t="s">
        <v>167</v>
      </c>
      <c r="B63" s="16">
        <v>9200</v>
      </c>
      <c r="C63" s="16">
        <v>9200</v>
      </c>
      <c r="D63" s="16">
        <v>18400</v>
      </c>
    </row>
    <row r="64" spans="1:4" x14ac:dyDescent="0.3">
      <c r="A64" s="18" t="s">
        <v>16</v>
      </c>
      <c r="B64" s="16">
        <v>9200</v>
      </c>
      <c r="C64" s="16"/>
      <c r="D64" s="16">
        <v>9200</v>
      </c>
    </row>
    <row r="65" spans="1:4" x14ac:dyDescent="0.3">
      <c r="A65" s="19" t="s">
        <v>168</v>
      </c>
      <c r="B65" s="16">
        <v>9200</v>
      </c>
      <c r="C65" s="16"/>
      <c r="D65" s="16">
        <v>9200</v>
      </c>
    </row>
    <row r="66" spans="1:4" x14ac:dyDescent="0.3">
      <c r="A66" s="24" t="s">
        <v>169</v>
      </c>
      <c r="B66" s="16">
        <v>9200</v>
      </c>
      <c r="C66" s="16"/>
      <c r="D66" s="16">
        <v>9200</v>
      </c>
    </row>
    <row r="67" spans="1:4" x14ac:dyDescent="0.3">
      <c r="A67" s="25">
        <v>46017</v>
      </c>
      <c r="B67" s="16"/>
      <c r="C67" s="16">
        <v>9200</v>
      </c>
      <c r="D67" s="16">
        <v>9200</v>
      </c>
    </row>
    <row r="68" spans="1:4" x14ac:dyDescent="0.3">
      <c r="A68" s="19" t="s">
        <v>168</v>
      </c>
      <c r="B68" s="16"/>
      <c r="C68" s="16">
        <v>9200</v>
      </c>
      <c r="D68" s="16">
        <v>9200</v>
      </c>
    </row>
    <row r="69" spans="1:4" x14ac:dyDescent="0.3">
      <c r="A69" s="24" t="s">
        <v>169</v>
      </c>
      <c r="B69" s="16"/>
      <c r="C69" s="16">
        <v>9200</v>
      </c>
      <c r="D69" s="16">
        <v>9200</v>
      </c>
    </row>
    <row r="70" spans="1:4" x14ac:dyDescent="0.3">
      <c r="A70" s="17" t="s">
        <v>100</v>
      </c>
      <c r="B70" s="16">
        <v>9275</v>
      </c>
      <c r="C70" s="16">
        <v>9275</v>
      </c>
      <c r="D70" s="16">
        <v>18550</v>
      </c>
    </row>
    <row r="71" spans="1:4" x14ac:dyDescent="0.3">
      <c r="A71" s="18" t="s">
        <v>64</v>
      </c>
      <c r="B71" s="16">
        <v>9275</v>
      </c>
      <c r="C71" s="16"/>
      <c r="D71" s="16">
        <v>9275</v>
      </c>
    </row>
    <row r="72" spans="1:4" x14ac:dyDescent="0.3">
      <c r="A72" s="19" t="s">
        <v>101</v>
      </c>
      <c r="B72" s="16">
        <v>9275</v>
      </c>
      <c r="C72" s="16"/>
      <c r="D72" s="16">
        <v>9275</v>
      </c>
    </row>
    <row r="73" spans="1:4" x14ac:dyDescent="0.3">
      <c r="A73" s="24" t="s">
        <v>102</v>
      </c>
      <c r="B73" s="16">
        <v>9275</v>
      </c>
      <c r="C73" s="16"/>
      <c r="D73" s="16">
        <v>9275</v>
      </c>
    </row>
    <row r="74" spans="1:4" x14ac:dyDescent="0.3">
      <c r="A74" s="25">
        <v>46019</v>
      </c>
      <c r="B74" s="16"/>
      <c r="C74" s="16">
        <v>9275</v>
      </c>
      <c r="D74" s="16">
        <v>9275</v>
      </c>
    </row>
    <row r="75" spans="1:4" x14ac:dyDescent="0.3">
      <c r="A75" s="19" t="s">
        <v>216</v>
      </c>
      <c r="B75" s="16"/>
      <c r="C75" s="16">
        <v>9275</v>
      </c>
      <c r="D75" s="16">
        <v>9275</v>
      </c>
    </row>
    <row r="76" spans="1:4" x14ac:dyDescent="0.3">
      <c r="A76" s="24" t="s">
        <v>102</v>
      </c>
      <c r="B76" s="16"/>
      <c r="C76" s="16">
        <v>9275</v>
      </c>
      <c r="D76" s="16">
        <v>9275</v>
      </c>
    </row>
    <row r="77" spans="1:4" x14ac:dyDescent="0.3">
      <c r="A77" s="17" t="s">
        <v>170</v>
      </c>
      <c r="B77" s="16">
        <v>32555</v>
      </c>
      <c r="C77" s="16">
        <v>32555</v>
      </c>
      <c r="D77" s="16">
        <v>65110</v>
      </c>
    </row>
    <row r="78" spans="1:4" x14ac:dyDescent="0.3">
      <c r="A78" s="18" t="s">
        <v>30</v>
      </c>
      <c r="B78" s="16">
        <v>32555</v>
      </c>
      <c r="C78" s="16"/>
      <c r="D78" s="16">
        <v>32555</v>
      </c>
    </row>
    <row r="79" spans="1:4" x14ac:dyDescent="0.3">
      <c r="A79" s="19" t="s">
        <v>171</v>
      </c>
      <c r="B79" s="16">
        <v>32555</v>
      </c>
      <c r="C79" s="16"/>
      <c r="D79" s="16">
        <v>32555</v>
      </c>
    </row>
    <row r="80" spans="1:4" x14ac:dyDescent="0.3">
      <c r="A80" s="24" t="s">
        <v>172</v>
      </c>
      <c r="B80" s="16">
        <v>32555</v>
      </c>
      <c r="C80" s="16"/>
      <c r="D80" s="16">
        <v>32555</v>
      </c>
    </row>
    <row r="81" spans="1:4" x14ac:dyDescent="0.3">
      <c r="A81" s="25">
        <v>46006</v>
      </c>
      <c r="B81" s="16"/>
      <c r="C81" s="16">
        <v>32555</v>
      </c>
      <c r="D81" s="16">
        <v>32555</v>
      </c>
    </row>
    <row r="82" spans="1:4" x14ac:dyDescent="0.3">
      <c r="A82" s="19" t="s">
        <v>203</v>
      </c>
      <c r="B82" s="16"/>
      <c r="C82" s="16">
        <v>32555</v>
      </c>
      <c r="D82" s="16">
        <v>32555</v>
      </c>
    </row>
    <row r="83" spans="1:4" x14ac:dyDescent="0.3">
      <c r="A83" s="24" t="s">
        <v>172</v>
      </c>
      <c r="B83" s="16"/>
      <c r="C83" s="16">
        <v>32555</v>
      </c>
      <c r="D83" s="16">
        <v>32555</v>
      </c>
    </row>
    <row r="84" spans="1:4" x14ac:dyDescent="0.3">
      <c r="A84" s="17" t="s">
        <v>106</v>
      </c>
      <c r="B84" s="16">
        <v>5250</v>
      </c>
      <c r="C84" s="16">
        <v>11460</v>
      </c>
      <c r="D84" s="16">
        <v>16710</v>
      </c>
    </row>
    <row r="85" spans="1:4" x14ac:dyDescent="0.3">
      <c r="A85" s="18" t="s">
        <v>44</v>
      </c>
      <c r="B85" s="16">
        <v>5250</v>
      </c>
      <c r="C85" s="16"/>
      <c r="D85" s="16">
        <v>5250</v>
      </c>
    </row>
    <row r="86" spans="1:4" x14ac:dyDescent="0.3">
      <c r="A86" s="19" t="s">
        <v>107</v>
      </c>
      <c r="B86" s="16">
        <v>5250</v>
      </c>
      <c r="C86" s="16"/>
      <c r="D86" s="16">
        <v>5250</v>
      </c>
    </row>
    <row r="87" spans="1:4" x14ac:dyDescent="0.3">
      <c r="A87" s="24" t="s">
        <v>108</v>
      </c>
      <c r="B87" s="16">
        <v>5250</v>
      </c>
      <c r="C87" s="16"/>
      <c r="D87" s="16">
        <v>5250</v>
      </c>
    </row>
    <row r="88" spans="1:4" x14ac:dyDescent="0.3">
      <c r="A88" s="25">
        <v>45999</v>
      </c>
      <c r="B88" s="16"/>
      <c r="C88" s="16">
        <v>11460</v>
      </c>
      <c r="D88" s="16">
        <v>11460</v>
      </c>
    </row>
    <row r="89" spans="1:4" x14ac:dyDescent="0.3">
      <c r="A89" s="19" t="s">
        <v>195</v>
      </c>
      <c r="B89" s="16"/>
      <c r="C89" s="16">
        <v>11460</v>
      </c>
      <c r="D89" s="16">
        <v>11460</v>
      </c>
    </row>
    <row r="90" spans="1:4" x14ac:dyDescent="0.3">
      <c r="A90" s="24" t="s">
        <v>197</v>
      </c>
      <c r="B90" s="16"/>
      <c r="C90" s="16">
        <v>6210</v>
      </c>
      <c r="D90" s="16">
        <v>6210</v>
      </c>
    </row>
    <row r="91" spans="1:4" x14ac:dyDescent="0.3">
      <c r="A91" s="24" t="s">
        <v>196</v>
      </c>
      <c r="B91" s="16"/>
      <c r="C91" s="16">
        <v>5250</v>
      </c>
      <c r="D91" s="16">
        <v>5250</v>
      </c>
    </row>
    <row r="92" spans="1:4" x14ac:dyDescent="0.3">
      <c r="A92" s="17" t="s">
        <v>177</v>
      </c>
      <c r="B92" s="16">
        <v>56110</v>
      </c>
      <c r="C92" s="16">
        <v>56510</v>
      </c>
      <c r="D92" s="16">
        <v>112620</v>
      </c>
    </row>
    <row r="93" spans="1:4" x14ac:dyDescent="0.3">
      <c r="A93" s="18" t="s">
        <v>95</v>
      </c>
      <c r="B93" s="16">
        <v>49600</v>
      </c>
      <c r="C93" s="16"/>
      <c r="D93" s="16">
        <v>49600</v>
      </c>
    </row>
    <row r="94" spans="1:4" x14ac:dyDescent="0.3">
      <c r="A94" s="19" t="s">
        <v>178</v>
      </c>
      <c r="B94" s="16">
        <v>49600</v>
      </c>
      <c r="C94" s="16"/>
      <c r="D94" s="16">
        <v>49600</v>
      </c>
    </row>
    <row r="95" spans="1:4" x14ac:dyDescent="0.3">
      <c r="A95" s="24" t="s">
        <v>179</v>
      </c>
      <c r="B95" s="16">
        <v>49600</v>
      </c>
      <c r="C95" s="16"/>
      <c r="D95" s="16">
        <v>49600</v>
      </c>
    </row>
    <row r="96" spans="1:4" x14ac:dyDescent="0.3">
      <c r="A96" s="18" t="s">
        <v>161</v>
      </c>
      <c r="B96" s="16">
        <v>6510</v>
      </c>
      <c r="C96" s="16"/>
      <c r="D96" s="16">
        <v>6510</v>
      </c>
    </row>
    <row r="97" spans="1:4" x14ac:dyDescent="0.3">
      <c r="A97" s="19" t="s">
        <v>178</v>
      </c>
      <c r="B97" s="16">
        <v>6510</v>
      </c>
      <c r="C97" s="16"/>
      <c r="D97" s="16">
        <v>6510</v>
      </c>
    </row>
    <row r="98" spans="1:4" x14ac:dyDescent="0.3">
      <c r="A98" s="24" t="s">
        <v>180</v>
      </c>
      <c r="B98" s="16">
        <v>6510</v>
      </c>
      <c r="C98" s="16"/>
      <c r="D98" s="16">
        <v>6510</v>
      </c>
    </row>
    <row r="99" spans="1:4" x14ac:dyDescent="0.3">
      <c r="A99" s="25">
        <v>46007</v>
      </c>
      <c r="B99" s="16"/>
      <c r="C99" s="16">
        <v>50000</v>
      </c>
      <c r="D99" s="16">
        <v>50000</v>
      </c>
    </row>
    <row r="100" spans="1:4" x14ac:dyDescent="0.3">
      <c r="A100" s="19" t="s">
        <v>204</v>
      </c>
      <c r="B100" s="16"/>
      <c r="C100" s="16">
        <v>50000</v>
      </c>
      <c r="D100" s="16">
        <v>50000</v>
      </c>
    </row>
    <row r="101" spans="1:4" x14ac:dyDescent="0.3">
      <c r="A101" s="24" t="s">
        <v>205</v>
      </c>
      <c r="B101" s="16"/>
      <c r="C101" s="16">
        <v>400</v>
      </c>
      <c r="D101" s="16">
        <v>400</v>
      </c>
    </row>
    <row r="102" spans="1:4" x14ac:dyDescent="0.3">
      <c r="A102" s="24" t="s">
        <v>179</v>
      </c>
      <c r="B102" s="16"/>
      <c r="C102" s="16">
        <v>49600</v>
      </c>
      <c r="D102" s="16">
        <v>49600</v>
      </c>
    </row>
    <row r="103" spans="1:4" x14ac:dyDescent="0.3">
      <c r="A103" s="25">
        <v>46013</v>
      </c>
      <c r="B103" s="16"/>
      <c r="C103" s="16">
        <v>6510</v>
      </c>
      <c r="D103" s="16">
        <v>6510</v>
      </c>
    </row>
    <row r="104" spans="1:4" x14ac:dyDescent="0.3">
      <c r="A104" s="19" t="s">
        <v>204</v>
      </c>
      <c r="B104" s="16"/>
      <c r="C104" s="16">
        <v>6510</v>
      </c>
      <c r="D104" s="16">
        <v>6510</v>
      </c>
    </row>
    <row r="105" spans="1:4" x14ac:dyDescent="0.3">
      <c r="A105" s="24" t="s">
        <v>180</v>
      </c>
      <c r="B105" s="16"/>
      <c r="C105" s="16">
        <v>6510</v>
      </c>
      <c r="D105" s="16">
        <v>6510</v>
      </c>
    </row>
    <row r="106" spans="1:4" x14ac:dyDescent="0.3">
      <c r="A106" s="17" t="s">
        <v>5</v>
      </c>
      <c r="B106" s="16">
        <v>147277</v>
      </c>
      <c r="C106" s="16">
        <v>147277</v>
      </c>
      <c r="D106" s="16">
        <v>294554</v>
      </c>
    </row>
    <row r="107" spans="1:4" x14ac:dyDescent="0.3">
      <c r="A107" s="18" t="s">
        <v>8</v>
      </c>
      <c r="B107" s="16">
        <v>31755</v>
      </c>
      <c r="C107" s="16"/>
      <c r="D107" s="16">
        <v>31755</v>
      </c>
    </row>
    <row r="108" spans="1:4" x14ac:dyDescent="0.3">
      <c r="A108" s="19" t="s">
        <v>6</v>
      </c>
      <c r="B108" s="16">
        <v>31755</v>
      </c>
      <c r="C108" s="16"/>
      <c r="D108" s="16">
        <v>31755</v>
      </c>
    </row>
    <row r="109" spans="1:4" x14ac:dyDescent="0.3">
      <c r="A109" s="24" t="s">
        <v>7</v>
      </c>
      <c r="B109" s="16">
        <v>31755</v>
      </c>
      <c r="C109" s="16"/>
      <c r="D109" s="16">
        <v>31755</v>
      </c>
    </row>
    <row r="110" spans="1:4" x14ac:dyDescent="0.3">
      <c r="A110" s="18" t="s">
        <v>10</v>
      </c>
      <c r="B110" s="16">
        <v>6020</v>
      </c>
      <c r="C110" s="16"/>
      <c r="D110" s="16">
        <v>6020</v>
      </c>
    </row>
    <row r="111" spans="1:4" x14ac:dyDescent="0.3">
      <c r="A111" s="19" t="s">
        <v>6</v>
      </c>
      <c r="B111" s="16">
        <v>6020</v>
      </c>
      <c r="C111" s="16"/>
      <c r="D111" s="16">
        <v>6020</v>
      </c>
    </row>
    <row r="112" spans="1:4" x14ac:dyDescent="0.3">
      <c r="A112" s="24" t="s">
        <v>9</v>
      </c>
      <c r="B112" s="16">
        <v>6020</v>
      </c>
      <c r="C112" s="16"/>
      <c r="D112" s="16">
        <v>6020</v>
      </c>
    </row>
    <row r="113" spans="1:4" x14ac:dyDescent="0.3">
      <c r="A113" s="18" t="s">
        <v>12</v>
      </c>
      <c r="B113" s="16">
        <v>36018</v>
      </c>
      <c r="C113" s="16"/>
      <c r="D113" s="16">
        <v>36018</v>
      </c>
    </row>
    <row r="114" spans="1:4" x14ac:dyDescent="0.3">
      <c r="A114" s="19" t="s">
        <v>6</v>
      </c>
      <c r="B114" s="16">
        <v>36018</v>
      </c>
      <c r="C114" s="16"/>
      <c r="D114" s="16">
        <v>36018</v>
      </c>
    </row>
    <row r="115" spans="1:4" x14ac:dyDescent="0.3">
      <c r="A115" s="24" t="s">
        <v>11</v>
      </c>
      <c r="B115" s="16">
        <v>36018</v>
      </c>
      <c r="C115" s="16"/>
      <c r="D115" s="16">
        <v>36018</v>
      </c>
    </row>
    <row r="116" spans="1:4" x14ac:dyDescent="0.3">
      <c r="A116" s="18" t="s">
        <v>14</v>
      </c>
      <c r="B116" s="16">
        <v>20999</v>
      </c>
      <c r="C116" s="16"/>
      <c r="D116" s="16">
        <v>20999</v>
      </c>
    </row>
    <row r="117" spans="1:4" x14ac:dyDescent="0.3">
      <c r="A117" s="19" t="s">
        <v>6</v>
      </c>
      <c r="B117" s="16">
        <v>20999</v>
      </c>
      <c r="C117" s="16"/>
      <c r="D117" s="16">
        <v>20999</v>
      </c>
    </row>
    <row r="118" spans="1:4" x14ac:dyDescent="0.3">
      <c r="A118" s="24" t="s">
        <v>13</v>
      </c>
      <c r="B118" s="16">
        <v>20999</v>
      </c>
      <c r="C118" s="16"/>
      <c r="D118" s="16">
        <v>20999</v>
      </c>
    </row>
    <row r="119" spans="1:4" x14ac:dyDescent="0.3">
      <c r="A119" s="18" t="s">
        <v>16</v>
      </c>
      <c r="B119" s="16">
        <v>4490</v>
      </c>
      <c r="C119" s="16"/>
      <c r="D119" s="16">
        <v>4490</v>
      </c>
    </row>
    <row r="120" spans="1:4" x14ac:dyDescent="0.3">
      <c r="A120" s="19" t="s">
        <v>6</v>
      </c>
      <c r="B120" s="16">
        <v>4490</v>
      </c>
      <c r="C120" s="16"/>
      <c r="D120" s="16">
        <v>4490</v>
      </c>
    </row>
    <row r="121" spans="1:4" x14ac:dyDescent="0.3">
      <c r="A121" s="24" t="s">
        <v>15</v>
      </c>
      <c r="B121" s="16">
        <v>4490</v>
      </c>
      <c r="C121" s="16"/>
      <c r="D121" s="16">
        <v>4490</v>
      </c>
    </row>
    <row r="122" spans="1:4" x14ac:dyDescent="0.3">
      <c r="A122" s="18" t="s">
        <v>18</v>
      </c>
      <c r="B122" s="16">
        <v>47995</v>
      </c>
      <c r="C122" s="16"/>
      <c r="D122" s="16">
        <v>47995</v>
      </c>
    </row>
    <row r="123" spans="1:4" x14ac:dyDescent="0.3">
      <c r="A123" s="19" t="s">
        <v>6</v>
      </c>
      <c r="B123" s="16">
        <v>47995</v>
      </c>
      <c r="C123" s="16"/>
      <c r="D123" s="16">
        <v>47995</v>
      </c>
    </row>
    <row r="124" spans="1:4" x14ac:dyDescent="0.3">
      <c r="A124" s="24" t="s">
        <v>17</v>
      </c>
      <c r="B124" s="16">
        <v>47995</v>
      </c>
      <c r="C124" s="16"/>
      <c r="D124" s="16">
        <v>47995</v>
      </c>
    </row>
    <row r="125" spans="1:4" x14ac:dyDescent="0.3">
      <c r="A125" s="25">
        <v>45996</v>
      </c>
      <c r="B125" s="16"/>
      <c r="C125" s="16">
        <v>31755</v>
      </c>
      <c r="D125" s="16">
        <v>31755</v>
      </c>
    </row>
    <row r="126" spans="1:4" x14ac:dyDescent="0.3">
      <c r="A126" s="19" t="s">
        <v>6</v>
      </c>
      <c r="B126" s="16"/>
      <c r="C126" s="16">
        <v>31755</v>
      </c>
      <c r="D126" s="16">
        <v>31755</v>
      </c>
    </row>
    <row r="127" spans="1:4" x14ac:dyDescent="0.3">
      <c r="A127" s="24" t="s">
        <v>7</v>
      </c>
      <c r="B127" s="16"/>
      <c r="C127" s="16">
        <v>31755</v>
      </c>
      <c r="D127" s="16">
        <v>31755</v>
      </c>
    </row>
    <row r="128" spans="1:4" x14ac:dyDescent="0.3">
      <c r="A128" s="25">
        <v>45998</v>
      </c>
      <c r="B128" s="16"/>
      <c r="C128" s="16">
        <v>6020</v>
      </c>
      <c r="D128" s="16">
        <v>6020</v>
      </c>
    </row>
    <row r="129" spans="1:4" x14ac:dyDescent="0.3">
      <c r="A129" s="19" t="s">
        <v>6</v>
      </c>
      <c r="B129" s="16"/>
      <c r="C129" s="16">
        <v>6020</v>
      </c>
      <c r="D129" s="16">
        <v>6020</v>
      </c>
    </row>
    <row r="130" spans="1:4" x14ac:dyDescent="0.3">
      <c r="A130" s="24" t="s">
        <v>194</v>
      </c>
      <c r="B130" s="16"/>
      <c r="C130" s="16">
        <v>6020</v>
      </c>
      <c r="D130" s="16">
        <v>6020</v>
      </c>
    </row>
    <row r="131" spans="1:4" x14ac:dyDescent="0.3">
      <c r="A131" s="25">
        <v>46008</v>
      </c>
      <c r="B131" s="16"/>
      <c r="C131" s="16">
        <v>36018</v>
      </c>
      <c r="D131" s="16">
        <v>36018</v>
      </c>
    </row>
    <row r="132" spans="1:4" x14ac:dyDescent="0.3">
      <c r="A132" s="19" t="s">
        <v>6</v>
      </c>
      <c r="B132" s="16"/>
      <c r="C132" s="16">
        <v>36018</v>
      </c>
      <c r="D132" s="16">
        <v>36018</v>
      </c>
    </row>
    <row r="133" spans="1:4" x14ac:dyDescent="0.3">
      <c r="A133" s="24" t="s">
        <v>11</v>
      </c>
      <c r="B133" s="16"/>
      <c r="C133" s="16">
        <v>36018</v>
      </c>
      <c r="D133" s="16">
        <v>36018</v>
      </c>
    </row>
    <row r="134" spans="1:4" x14ac:dyDescent="0.3">
      <c r="A134" s="25">
        <v>46014</v>
      </c>
      <c r="B134" s="16"/>
      <c r="C134" s="16">
        <v>20999</v>
      </c>
      <c r="D134" s="16">
        <v>20999</v>
      </c>
    </row>
    <row r="135" spans="1:4" x14ac:dyDescent="0.3">
      <c r="A135" s="19" t="s">
        <v>6</v>
      </c>
      <c r="B135" s="16"/>
      <c r="C135" s="16">
        <v>20999</v>
      </c>
      <c r="D135" s="16">
        <v>20999</v>
      </c>
    </row>
    <row r="136" spans="1:4" x14ac:dyDescent="0.3">
      <c r="A136" s="24" t="s">
        <v>13</v>
      </c>
      <c r="B136" s="16"/>
      <c r="C136" s="16">
        <v>20999</v>
      </c>
      <c r="D136" s="16">
        <v>20999</v>
      </c>
    </row>
    <row r="137" spans="1:4" x14ac:dyDescent="0.3">
      <c r="A137" s="25">
        <v>46017</v>
      </c>
      <c r="B137" s="16"/>
      <c r="C137" s="16">
        <v>4490</v>
      </c>
      <c r="D137" s="16">
        <v>4490</v>
      </c>
    </row>
    <row r="138" spans="1:4" x14ac:dyDescent="0.3">
      <c r="A138" s="19" t="s">
        <v>6</v>
      </c>
      <c r="B138" s="16"/>
      <c r="C138" s="16">
        <v>4490</v>
      </c>
      <c r="D138" s="16">
        <v>4490</v>
      </c>
    </row>
    <row r="139" spans="1:4" x14ac:dyDescent="0.3">
      <c r="A139" s="24" t="s">
        <v>15</v>
      </c>
      <c r="B139" s="16"/>
      <c r="C139" s="16">
        <v>4490</v>
      </c>
      <c r="D139" s="16">
        <v>4490</v>
      </c>
    </row>
    <row r="140" spans="1:4" x14ac:dyDescent="0.3">
      <c r="A140" s="25">
        <v>46021</v>
      </c>
      <c r="B140" s="16"/>
      <c r="C140" s="16">
        <v>47995</v>
      </c>
      <c r="D140" s="16">
        <v>47995</v>
      </c>
    </row>
    <row r="141" spans="1:4" x14ac:dyDescent="0.3">
      <c r="A141" s="19" t="s">
        <v>6</v>
      </c>
      <c r="B141" s="16"/>
      <c r="C141" s="16">
        <v>47995</v>
      </c>
      <c r="D141" s="16">
        <v>47995</v>
      </c>
    </row>
    <row r="142" spans="1:4" x14ac:dyDescent="0.3">
      <c r="A142" s="24" t="s">
        <v>17</v>
      </c>
      <c r="B142" s="16"/>
      <c r="C142" s="16">
        <v>47995</v>
      </c>
      <c r="D142" s="16">
        <v>47995</v>
      </c>
    </row>
    <row r="143" spans="1:4" x14ac:dyDescent="0.3">
      <c r="A143" s="17" t="s">
        <v>123</v>
      </c>
      <c r="B143" s="16">
        <v>7250</v>
      </c>
      <c r="C143" s="16">
        <v>7250</v>
      </c>
      <c r="D143" s="16">
        <v>14500</v>
      </c>
    </row>
    <row r="144" spans="1:4" x14ac:dyDescent="0.3">
      <c r="A144" s="18" t="s">
        <v>38</v>
      </c>
      <c r="B144" s="16">
        <v>7250</v>
      </c>
      <c r="C144" s="16"/>
      <c r="D144" s="16">
        <v>7250</v>
      </c>
    </row>
    <row r="145" spans="1:4" x14ac:dyDescent="0.3">
      <c r="A145" s="19" t="s">
        <v>124</v>
      </c>
      <c r="B145" s="16">
        <v>7250</v>
      </c>
      <c r="C145" s="16"/>
      <c r="D145" s="16">
        <v>7250</v>
      </c>
    </row>
    <row r="146" spans="1:4" x14ac:dyDescent="0.3">
      <c r="A146" s="24" t="s">
        <v>125</v>
      </c>
      <c r="B146" s="16">
        <v>7250</v>
      </c>
      <c r="C146" s="16"/>
      <c r="D146" s="16">
        <v>7250</v>
      </c>
    </row>
    <row r="147" spans="1:4" x14ac:dyDescent="0.3">
      <c r="A147" s="25">
        <v>45994</v>
      </c>
      <c r="B147" s="16"/>
      <c r="C147" s="16">
        <v>7250</v>
      </c>
      <c r="D147" s="16">
        <v>7250</v>
      </c>
    </row>
    <row r="148" spans="1:4" x14ac:dyDescent="0.3">
      <c r="A148" s="19" t="s">
        <v>124</v>
      </c>
      <c r="B148" s="16"/>
      <c r="C148" s="16">
        <v>7250</v>
      </c>
      <c r="D148" s="16">
        <v>7250</v>
      </c>
    </row>
    <row r="149" spans="1:4" x14ac:dyDescent="0.3">
      <c r="A149" s="24" t="s">
        <v>125</v>
      </c>
      <c r="B149" s="16"/>
      <c r="C149" s="16">
        <v>7250</v>
      </c>
      <c r="D149" s="16">
        <v>7250</v>
      </c>
    </row>
    <row r="150" spans="1:4" x14ac:dyDescent="0.3">
      <c r="A150" s="17" t="s">
        <v>112</v>
      </c>
      <c r="B150" s="16">
        <v>106959</v>
      </c>
      <c r="C150" s="16">
        <v>106959</v>
      </c>
      <c r="D150" s="16">
        <v>213918</v>
      </c>
    </row>
    <row r="151" spans="1:4" x14ac:dyDescent="0.3">
      <c r="A151" s="18" t="s">
        <v>50</v>
      </c>
      <c r="B151" s="16">
        <v>70326</v>
      </c>
      <c r="C151" s="16"/>
      <c r="D151" s="16">
        <v>70326</v>
      </c>
    </row>
    <row r="152" spans="1:4" x14ac:dyDescent="0.3">
      <c r="A152" s="19" t="s">
        <v>113</v>
      </c>
      <c r="B152" s="16">
        <v>70326</v>
      </c>
      <c r="C152" s="16"/>
      <c r="D152" s="16">
        <v>70326</v>
      </c>
    </row>
    <row r="153" spans="1:4" x14ac:dyDescent="0.3">
      <c r="A153" s="24" t="s">
        <v>114</v>
      </c>
      <c r="B153" s="16">
        <v>70326</v>
      </c>
      <c r="C153" s="16"/>
      <c r="D153" s="16">
        <v>70326</v>
      </c>
    </row>
    <row r="154" spans="1:4" x14ac:dyDescent="0.3">
      <c r="A154" s="18" t="s">
        <v>16</v>
      </c>
      <c r="B154" s="16">
        <v>36633</v>
      </c>
      <c r="C154" s="16"/>
      <c r="D154" s="16">
        <v>36633</v>
      </c>
    </row>
    <row r="155" spans="1:4" x14ac:dyDescent="0.3">
      <c r="A155" s="19" t="s">
        <v>113</v>
      </c>
      <c r="B155" s="16">
        <v>36633</v>
      </c>
      <c r="C155" s="16"/>
      <c r="D155" s="16">
        <v>36633</v>
      </c>
    </row>
    <row r="156" spans="1:4" x14ac:dyDescent="0.3">
      <c r="A156" s="24" t="s">
        <v>115</v>
      </c>
      <c r="B156" s="16">
        <v>36633</v>
      </c>
      <c r="C156" s="16"/>
      <c r="D156" s="16">
        <v>36633</v>
      </c>
    </row>
    <row r="157" spans="1:4" x14ac:dyDescent="0.3">
      <c r="A157" s="25">
        <v>46005</v>
      </c>
      <c r="B157" s="16"/>
      <c r="C157" s="16">
        <v>70326</v>
      </c>
      <c r="D157" s="16">
        <v>70326</v>
      </c>
    </row>
    <row r="158" spans="1:4" x14ac:dyDescent="0.3">
      <c r="A158" s="19" t="s">
        <v>201</v>
      </c>
      <c r="B158" s="16"/>
      <c r="C158" s="16">
        <v>70326</v>
      </c>
      <c r="D158" s="16">
        <v>70326</v>
      </c>
    </row>
    <row r="159" spans="1:4" x14ac:dyDescent="0.3">
      <c r="A159" s="24" t="s">
        <v>114</v>
      </c>
      <c r="B159" s="16"/>
      <c r="C159" s="16">
        <v>70326</v>
      </c>
      <c r="D159" s="16">
        <v>70326</v>
      </c>
    </row>
    <row r="160" spans="1:4" x14ac:dyDescent="0.3">
      <c r="A160" s="25">
        <v>46017</v>
      </c>
      <c r="B160" s="16"/>
      <c r="C160" s="16">
        <v>36633</v>
      </c>
      <c r="D160" s="16">
        <v>36633</v>
      </c>
    </row>
    <row r="161" spans="1:4" x14ac:dyDescent="0.3">
      <c r="A161" s="19" t="s">
        <v>201</v>
      </c>
      <c r="B161" s="16"/>
      <c r="C161" s="16">
        <v>36633</v>
      </c>
      <c r="D161" s="16">
        <v>36633</v>
      </c>
    </row>
    <row r="162" spans="1:4" x14ac:dyDescent="0.3">
      <c r="A162" s="24" t="s">
        <v>115</v>
      </c>
      <c r="B162" s="16"/>
      <c r="C162" s="16">
        <v>36633</v>
      </c>
      <c r="D162" s="16">
        <v>36633</v>
      </c>
    </row>
    <row r="163" spans="1:4" x14ac:dyDescent="0.3">
      <c r="A163" s="17" t="s">
        <v>130</v>
      </c>
      <c r="B163" s="16">
        <v>88481</v>
      </c>
      <c r="C163" s="16">
        <v>88481</v>
      </c>
      <c r="D163" s="16">
        <v>176962</v>
      </c>
    </row>
    <row r="164" spans="1:4" x14ac:dyDescent="0.3">
      <c r="A164" s="18" t="s">
        <v>14</v>
      </c>
      <c r="B164" s="16">
        <v>43050</v>
      </c>
      <c r="C164" s="16"/>
      <c r="D164" s="16">
        <v>43050</v>
      </c>
    </row>
    <row r="165" spans="1:4" x14ac:dyDescent="0.3">
      <c r="A165" s="19" t="s">
        <v>131</v>
      </c>
      <c r="B165" s="16">
        <v>43050</v>
      </c>
      <c r="C165" s="16"/>
      <c r="D165" s="16">
        <v>43050</v>
      </c>
    </row>
    <row r="166" spans="1:4" x14ac:dyDescent="0.3">
      <c r="A166" s="24" t="s">
        <v>133</v>
      </c>
      <c r="B166" s="16">
        <v>43050</v>
      </c>
      <c r="C166" s="16"/>
      <c r="D166" s="16">
        <v>43050</v>
      </c>
    </row>
    <row r="167" spans="1:4" x14ac:dyDescent="0.3">
      <c r="A167" s="18" t="s">
        <v>18</v>
      </c>
      <c r="B167" s="16">
        <v>45431</v>
      </c>
      <c r="C167" s="16"/>
      <c r="D167" s="16">
        <v>45431</v>
      </c>
    </row>
    <row r="168" spans="1:4" x14ac:dyDescent="0.3">
      <c r="A168" s="19" t="s">
        <v>131</v>
      </c>
      <c r="B168" s="16">
        <v>45431</v>
      </c>
      <c r="C168" s="16"/>
      <c r="D168" s="16">
        <v>45431</v>
      </c>
    </row>
    <row r="169" spans="1:4" x14ac:dyDescent="0.3">
      <c r="A169" s="24" t="s">
        <v>132</v>
      </c>
      <c r="B169" s="16">
        <v>45431</v>
      </c>
      <c r="C169" s="16"/>
      <c r="D169" s="16">
        <v>45431</v>
      </c>
    </row>
    <row r="170" spans="1:4" x14ac:dyDescent="0.3">
      <c r="A170" s="25">
        <v>46014</v>
      </c>
      <c r="B170" s="16"/>
      <c r="C170" s="16">
        <v>43050</v>
      </c>
      <c r="D170" s="16">
        <v>43050</v>
      </c>
    </row>
    <row r="171" spans="1:4" x14ac:dyDescent="0.3">
      <c r="A171" s="19" t="s">
        <v>209</v>
      </c>
      <c r="B171" s="16"/>
      <c r="C171" s="16">
        <v>43050</v>
      </c>
      <c r="D171" s="16">
        <v>43050</v>
      </c>
    </row>
    <row r="172" spans="1:4" x14ac:dyDescent="0.3">
      <c r="A172" s="24" t="s">
        <v>133</v>
      </c>
      <c r="B172" s="16"/>
      <c r="C172" s="16">
        <v>43050</v>
      </c>
      <c r="D172" s="16">
        <v>43050</v>
      </c>
    </row>
    <row r="173" spans="1:4" x14ac:dyDescent="0.3">
      <c r="A173" s="25">
        <v>46021</v>
      </c>
      <c r="B173" s="16"/>
      <c r="C173" s="16">
        <v>45431</v>
      </c>
      <c r="D173" s="16">
        <v>45431</v>
      </c>
    </row>
    <row r="174" spans="1:4" x14ac:dyDescent="0.3">
      <c r="A174" s="19" t="s">
        <v>209</v>
      </c>
      <c r="B174" s="16"/>
      <c r="C174" s="16">
        <v>45431</v>
      </c>
      <c r="D174" s="16">
        <v>45431</v>
      </c>
    </row>
    <row r="175" spans="1:4" x14ac:dyDescent="0.3">
      <c r="A175" s="24" t="s">
        <v>132</v>
      </c>
      <c r="B175" s="16"/>
      <c r="C175" s="16">
        <v>45431</v>
      </c>
      <c r="D175" s="16">
        <v>45431</v>
      </c>
    </row>
    <row r="176" spans="1:4" x14ac:dyDescent="0.3">
      <c r="A176" s="17" t="s">
        <v>96</v>
      </c>
      <c r="B176" s="16">
        <v>12400</v>
      </c>
      <c r="C176" s="16"/>
      <c r="D176" s="16">
        <v>12400</v>
      </c>
    </row>
    <row r="177" spans="1:4" x14ac:dyDescent="0.3">
      <c r="A177" s="18" t="s">
        <v>99</v>
      </c>
      <c r="B177" s="16">
        <v>12400</v>
      </c>
      <c r="C177" s="16"/>
      <c r="D177" s="16">
        <v>12400</v>
      </c>
    </row>
    <row r="178" spans="1:4" x14ac:dyDescent="0.3">
      <c r="A178" s="19" t="s">
        <v>97</v>
      </c>
      <c r="B178" s="16">
        <v>12400</v>
      </c>
      <c r="C178" s="16"/>
      <c r="D178" s="16">
        <v>12400</v>
      </c>
    </row>
    <row r="179" spans="1:4" x14ac:dyDescent="0.3">
      <c r="A179" s="24" t="s">
        <v>98</v>
      </c>
      <c r="B179" s="16">
        <v>12400</v>
      </c>
      <c r="C179" s="16"/>
      <c r="D179" s="16">
        <v>12400</v>
      </c>
    </row>
    <row r="180" spans="1:4" x14ac:dyDescent="0.3">
      <c r="A180" s="17" t="s">
        <v>116</v>
      </c>
      <c r="B180" s="16">
        <v>47490</v>
      </c>
      <c r="C180" s="16">
        <v>4720</v>
      </c>
      <c r="D180" s="16">
        <v>52210</v>
      </c>
    </row>
    <row r="181" spans="1:4" x14ac:dyDescent="0.3">
      <c r="A181" s="18" t="s">
        <v>119</v>
      </c>
      <c r="B181" s="16">
        <v>36050</v>
      </c>
      <c r="C181" s="16"/>
      <c r="D181" s="16">
        <v>36050</v>
      </c>
    </row>
    <row r="182" spans="1:4" x14ac:dyDescent="0.3">
      <c r="A182" s="19" t="s">
        <v>117</v>
      </c>
      <c r="B182" s="16">
        <v>36050</v>
      </c>
      <c r="C182" s="16"/>
      <c r="D182" s="16">
        <v>36050</v>
      </c>
    </row>
    <row r="183" spans="1:4" x14ac:dyDescent="0.3">
      <c r="A183" s="24" t="s">
        <v>118</v>
      </c>
      <c r="B183" s="16">
        <v>36050</v>
      </c>
      <c r="C183" s="16"/>
      <c r="D183" s="16">
        <v>36050</v>
      </c>
    </row>
    <row r="184" spans="1:4" x14ac:dyDescent="0.3">
      <c r="A184" s="18" t="s">
        <v>121</v>
      </c>
      <c r="B184" s="16">
        <v>6720</v>
      </c>
      <c r="C184" s="16"/>
      <c r="D184" s="16">
        <v>6720</v>
      </c>
    </row>
    <row r="185" spans="1:4" x14ac:dyDescent="0.3">
      <c r="A185" s="19" t="s">
        <v>117</v>
      </c>
      <c r="B185" s="16">
        <v>6720</v>
      </c>
      <c r="C185" s="16"/>
      <c r="D185" s="16">
        <v>6720</v>
      </c>
    </row>
    <row r="186" spans="1:4" x14ac:dyDescent="0.3">
      <c r="A186" s="24" t="s">
        <v>120</v>
      </c>
      <c r="B186" s="16">
        <v>6720</v>
      </c>
      <c r="C186" s="16"/>
      <c r="D186" s="16">
        <v>6720</v>
      </c>
    </row>
    <row r="187" spans="1:4" x14ac:dyDescent="0.3">
      <c r="A187" s="18" t="s">
        <v>18</v>
      </c>
      <c r="B187" s="16">
        <v>4720</v>
      </c>
      <c r="C187" s="16"/>
      <c r="D187" s="16">
        <v>4720</v>
      </c>
    </row>
    <row r="188" spans="1:4" x14ac:dyDescent="0.3">
      <c r="A188" s="19" t="s">
        <v>117</v>
      </c>
      <c r="B188" s="16">
        <v>4720</v>
      </c>
      <c r="C188" s="16"/>
      <c r="D188" s="16">
        <v>4720</v>
      </c>
    </row>
    <row r="189" spans="1:4" x14ac:dyDescent="0.3">
      <c r="A189" s="24" t="s">
        <v>122</v>
      </c>
      <c r="B189" s="16">
        <v>4720</v>
      </c>
      <c r="C189" s="16"/>
      <c r="D189" s="16">
        <v>4720</v>
      </c>
    </row>
    <row r="190" spans="1:4" x14ac:dyDescent="0.3">
      <c r="A190" s="25">
        <v>46021</v>
      </c>
      <c r="B190" s="16"/>
      <c r="C190" s="16">
        <v>4720</v>
      </c>
      <c r="D190" s="16">
        <v>4720</v>
      </c>
    </row>
    <row r="191" spans="1:4" x14ac:dyDescent="0.3">
      <c r="A191" s="19" t="s">
        <v>117</v>
      </c>
      <c r="B191" s="16"/>
      <c r="C191" s="16">
        <v>4720</v>
      </c>
      <c r="D191" s="16">
        <v>4720</v>
      </c>
    </row>
    <row r="192" spans="1:4" x14ac:dyDescent="0.3">
      <c r="A192" s="24" t="s">
        <v>122</v>
      </c>
      <c r="B192" s="16"/>
      <c r="C192" s="16">
        <v>4720</v>
      </c>
      <c r="D192" s="16">
        <v>4720</v>
      </c>
    </row>
    <row r="193" spans="1:4" x14ac:dyDescent="0.3">
      <c r="A193" s="17" t="s">
        <v>35</v>
      </c>
      <c r="B193" s="16">
        <v>390950.60000000003</v>
      </c>
      <c r="C193" s="16">
        <v>147937</v>
      </c>
      <c r="D193" s="16">
        <v>538887.60000000009</v>
      </c>
    </row>
    <row r="194" spans="1:4" x14ac:dyDescent="0.3">
      <c r="A194" s="18" t="s">
        <v>38</v>
      </c>
      <c r="B194" s="16">
        <v>4690</v>
      </c>
      <c r="C194" s="16"/>
      <c r="D194" s="16">
        <v>4690</v>
      </c>
    </row>
    <row r="195" spans="1:4" x14ac:dyDescent="0.3">
      <c r="A195" s="19" t="s">
        <v>36</v>
      </c>
      <c r="B195" s="16">
        <v>4690</v>
      </c>
      <c r="C195" s="16"/>
      <c r="D195" s="16">
        <v>4690</v>
      </c>
    </row>
    <row r="196" spans="1:4" x14ac:dyDescent="0.3">
      <c r="A196" s="24" t="s">
        <v>37</v>
      </c>
      <c r="B196" s="16">
        <v>4690</v>
      </c>
      <c r="C196" s="16"/>
      <c r="D196" s="16">
        <v>4690</v>
      </c>
    </row>
    <row r="197" spans="1:4" x14ac:dyDescent="0.3">
      <c r="A197" s="18" t="s">
        <v>40</v>
      </c>
      <c r="B197" s="16">
        <v>7800</v>
      </c>
      <c r="C197" s="16"/>
      <c r="D197" s="16">
        <v>7800</v>
      </c>
    </row>
    <row r="198" spans="1:4" x14ac:dyDescent="0.3">
      <c r="A198" s="19" t="s">
        <v>36</v>
      </c>
      <c r="B198" s="16">
        <v>7800</v>
      </c>
      <c r="C198" s="16"/>
      <c r="D198" s="16">
        <v>7800</v>
      </c>
    </row>
    <row r="199" spans="1:4" x14ac:dyDescent="0.3">
      <c r="A199" s="24" t="s">
        <v>39</v>
      </c>
      <c r="B199" s="16">
        <v>7800</v>
      </c>
      <c r="C199" s="16"/>
      <c r="D199" s="16">
        <v>7800</v>
      </c>
    </row>
    <row r="200" spans="1:4" x14ac:dyDescent="0.3">
      <c r="A200" s="18" t="s">
        <v>10</v>
      </c>
      <c r="B200" s="16">
        <v>20630</v>
      </c>
      <c r="C200" s="16"/>
      <c r="D200" s="16">
        <v>20630</v>
      </c>
    </row>
    <row r="201" spans="1:4" x14ac:dyDescent="0.3">
      <c r="A201" s="19" t="s">
        <v>36</v>
      </c>
      <c r="B201" s="16">
        <v>20630</v>
      </c>
      <c r="C201" s="16"/>
      <c r="D201" s="16">
        <v>20630</v>
      </c>
    </row>
    <row r="202" spans="1:4" x14ac:dyDescent="0.3">
      <c r="A202" s="24" t="s">
        <v>41</v>
      </c>
      <c r="B202" s="16">
        <v>10550</v>
      </c>
      <c r="C202" s="16"/>
      <c r="D202" s="16">
        <v>10550</v>
      </c>
    </row>
    <row r="203" spans="1:4" x14ac:dyDescent="0.3">
      <c r="A203" s="24" t="s">
        <v>42</v>
      </c>
      <c r="B203" s="16">
        <v>10080</v>
      </c>
      <c r="C203" s="16"/>
      <c r="D203" s="16">
        <v>10080</v>
      </c>
    </row>
    <row r="204" spans="1:4" x14ac:dyDescent="0.3">
      <c r="A204" s="18" t="s">
        <v>44</v>
      </c>
      <c r="B204" s="16">
        <v>4576.04</v>
      </c>
      <c r="C204" s="16"/>
      <c r="D204" s="16">
        <v>4576.04</v>
      </c>
    </row>
    <row r="205" spans="1:4" x14ac:dyDescent="0.3">
      <c r="A205" s="19" t="s">
        <v>36</v>
      </c>
      <c r="B205" s="16">
        <v>4576.04</v>
      </c>
      <c r="C205" s="16"/>
      <c r="D205" s="16">
        <v>4576.04</v>
      </c>
    </row>
    <row r="206" spans="1:4" x14ac:dyDescent="0.3">
      <c r="A206" s="24" t="s">
        <v>43</v>
      </c>
      <c r="B206" s="16">
        <v>4576.04</v>
      </c>
      <c r="C206" s="16"/>
      <c r="D206" s="16">
        <v>4576.04</v>
      </c>
    </row>
    <row r="207" spans="1:4" x14ac:dyDescent="0.3">
      <c r="A207" s="18" t="s">
        <v>46</v>
      </c>
      <c r="B207" s="16">
        <v>9000</v>
      </c>
      <c r="C207" s="16"/>
      <c r="D207" s="16">
        <v>9000</v>
      </c>
    </row>
    <row r="208" spans="1:4" x14ac:dyDescent="0.3">
      <c r="A208" s="19" t="s">
        <v>36</v>
      </c>
      <c r="B208" s="16">
        <v>9000</v>
      </c>
      <c r="C208" s="16"/>
      <c r="D208" s="16">
        <v>9000</v>
      </c>
    </row>
    <row r="209" spans="1:4" x14ac:dyDescent="0.3">
      <c r="A209" s="24" t="s">
        <v>45</v>
      </c>
      <c r="B209" s="16">
        <v>9000</v>
      </c>
      <c r="C209" s="16"/>
      <c r="D209" s="16">
        <v>9000</v>
      </c>
    </row>
    <row r="210" spans="1:4" x14ac:dyDescent="0.3">
      <c r="A210" s="18" t="s">
        <v>48</v>
      </c>
      <c r="B210" s="16">
        <v>20751</v>
      </c>
      <c r="C210" s="16"/>
      <c r="D210" s="16">
        <v>20751</v>
      </c>
    </row>
    <row r="211" spans="1:4" x14ac:dyDescent="0.3">
      <c r="A211" s="19" t="s">
        <v>36</v>
      </c>
      <c r="B211" s="16">
        <v>20751</v>
      </c>
      <c r="C211" s="16"/>
      <c r="D211" s="16">
        <v>20751</v>
      </c>
    </row>
    <row r="212" spans="1:4" x14ac:dyDescent="0.3">
      <c r="A212" s="24" t="s">
        <v>47</v>
      </c>
      <c r="B212" s="16">
        <v>20751</v>
      </c>
      <c r="C212" s="16"/>
      <c r="D212" s="16">
        <v>20751</v>
      </c>
    </row>
    <row r="213" spans="1:4" x14ac:dyDescent="0.3">
      <c r="A213" s="18" t="s">
        <v>50</v>
      </c>
      <c r="B213" s="16">
        <v>53665.35</v>
      </c>
      <c r="C213" s="16"/>
      <c r="D213" s="16">
        <v>53665.35</v>
      </c>
    </row>
    <row r="214" spans="1:4" x14ac:dyDescent="0.3">
      <c r="A214" s="19" t="s">
        <v>36</v>
      </c>
      <c r="B214" s="16">
        <v>53665.35</v>
      </c>
      <c r="C214" s="16"/>
      <c r="D214" s="16">
        <v>53665.35</v>
      </c>
    </row>
    <row r="215" spans="1:4" x14ac:dyDescent="0.3">
      <c r="A215" s="24" t="s">
        <v>49</v>
      </c>
      <c r="B215" s="16">
        <v>37480.339999999997</v>
      </c>
      <c r="C215" s="16"/>
      <c r="D215" s="16">
        <v>37480.339999999997</v>
      </c>
    </row>
    <row r="216" spans="1:4" x14ac:dyDescent="0.3">
      <c r="A216" s="24" t="s">
        <v>51</v>
      </c>
      <c r="B216" s="16">
        <v>16185.01</v>
      </c>
      <c r="C216" s="16"/>
      <c r="D216" s="16">
        <v>16185.01</v>
      </c>
    </row>
    <row r="217" spans="1:4" x14ac:dyDescent="0.3">
      <c r="A217" s="18" t="s">
        <v>53</v>
      </c>
      <c r="B217" s="16">
        <v>53018.25</v>
      </c>
      <c r="C217" s="16"/>
      <c r="D217" s="16">
        <v>53018.25</v>
      </c>
    </row>
    <row r="218" spans="1:4" x14ac:dyDescent="0.3">
      <c r="A218" s="19" t="s">
        <v>36</v>
      </c>
      <c r="B218" s="16">
        <v>53018.25</v>
      </c>
      <c r="C218" s="16"/>
      <c r="D218" s="16">
        <v>53018.25</v>
      </c>
    </row>
    <row r="219" spans="1:4" x14ac:dyDescent="0.3">
      <c r="A219" s="24" t="s">
        <v>52</v>
      </c>
      <c r="B219" s="16">
        <v>23851</v>
      </c>
      <c r="C219" s="16"/>
      <c r="D219" s="16">
        <v>23851</v>
      </c>
    </row>
    <row r="220" spans="1:4" x14ac:dyDescent="0.3">
      <c r="A220" s="24" t="s">
        <v>54</v>
      </c>
      <c r="B220" s="16">
        <v>29167.25</v>
      </c>
      <c r="C220" s="16"/>
      <c r="D220" s="16">
        <v>29167.25</v>
      </c>
    </row>
    <row r="221" spans="1:4" x14ac:dyDescent="0.3">
      <c r="A221" s="18" t="s">
        <v>56</v>
      </c>
      <c r="B221" s="16">
        <v>14806.3</v>
      </c>
      <c r="C221" s="16"/>
      <c r="D221" s="16">
        <v>14806.3</v>
      </c>
    </row>
    <row r="222" spans="1:4" x14ac:dyDescent="0.3">
      <c r="A222" s="19" t="s">
        <v>36</v>
      </c>
      <c r="B222" s="16">
        <v>14806.3</v>
      </c>
      <c r="C222" s="16"/>
      <c r="D222" s="16">
        <v>14806.3</v>
      </c>
    </row>
    <row r="223" spans="1:4" x14ac:dyDescent="0.3">
      <c r="A223" s="24" t="s">
        <v>55</v>
      </c>
      <c r="B223" s="16">
        <v>14806.3</v>
      </c>
      <c r="C223" s="16"/>
      <c r="D223" s="16">
        <v>14806.3</v>
      </c>
    </row>
    <row r="224" spans="1:4" x14ac:dyDescent="0.3">
      <c r="A224" s="18" t="s">
        <v>58</v>
      </c>
      <c r="B224" s="16">
        <v>5066</v>
      </c>
      <c r="C224" s="16"/>
      <c r="D224" s="16">
        <v>5066</v>
      </c>
    </row>
    <row r="225" spans="1:4" x14ac:dyDescent="0.3">
      <c r="A225" s="19" t="s">
        <v>36</v>
      </c>
      <c r="B225" s="16">
        <v>5066</v>
      </c>
      <c r="C225" s="16"/>
      <c r="D225" s="16">
        <v>5066</v>
      </c>
    </row>
    <row r="226" spans="1:4" x14ac:dyDescent="0.3">
      <c r="A226" s="24" t="s">
        <v>57</v>
      </c>
      <c r="B226" s="16">
        <v>5066</v>
      </c>
      <c r="C226" s="16"/>
      <c r="D226" s="16">
        <v>5066</v>
      </c>
    </row>
    <row r="227" spans="1:4" x14ac:dyDescent="0.3">
      <c r="A227" s="18" t="s">
        <v>14</v>
      </c>
      <c r="B227" s="16">
        <v>57346.259999999995</v>
      </c>
      <c r="C227" s="16"/>
      <c r="D227" s="16">
        <v>57346.259999999995</v>
      </c>
    </row>
    <row r="228" spans="1:4" x14ac:dyDescent="0.3">
      <c r="A228" s="19" t="s">
        <v>36</v>
      </c>
      <c r="B228" s="16">
        <v>57346.259999999995</v>
      </c>
      <c r="C228" s="16"/>
      <c r="D228" s="16">
        <v>57346.259999999995</v>
      </c>
    </row>
    <row r="229" spans="1:4" x14ac:dyDescent="0.3">
      <c r="A229" s="24" t="s">
        <v>59</v>
      </c>
      <c r="B229" s="16">
        <v>32894</v>
      </c>
      <c r="C229" s="16"/>
      <c r="D229" s="16">
        <v>32894</v>
      </c>
    </row>
    <row r="230" spans="1:4" x14ac:dyDescent="0.3">
      <c r="A230" s="24" t="s">
        <v>60</v>
      </c>
      <c r="B230" s="16">
        <v>24452.26</v>
      </c>
      <c r="C230" s="16"/>
      <c r="D230" s="16">
        <v>24452.26</v>
      </c>
    </row>
    <row r="231" spans="1:4" x14ac:dyDescent="0.3">
      <c r="A231" s="18" t="s">
        <v>62</v>
      </c>
      <c r="B231" s="16">
        <v>12000</v>
      </c>
      <c r="C231" s="16"/>
      <c r="D231" s="16">
        <v>12000</v>
      </c>
    </row>
    <row r="232" spans="1:4" x14ac:dyDescent="0.3">
      <c r="A232" s="19" t="s">
        <v>36</v>
      </c>
      <c r="B232" s="16">
        <v>12000</v>
      </c>
      <c r="C232" s="16"/>
      <c r="D232" s="16">
        <v>12000</v>
      </c>
    </row>
    <row r="233" spans="1:4" x14ac:dyDescent="0.3">
      <c r="A233" s="24" t="s">
        <v>61</v>
      </c>
      <c r="B233" s="16">
        <v>12000</v>
      </c>
      <c r="C233" s="16"/>
      <c r="D233" s="16">
        <v>12000</v>
      </c>
    </row>
    <row r="234" spans="1:4" x14ac:dyDescent="0.3">
      <c r="A234" s="18" t="s">
        <v>16</v>
      </c>
      <c r="B234" s="16">
        <v>17620</v>
      </c>
      <c r="C234" s="16"/>
      <c r="D234" s="16">
        <v>17620</v>
      </c>
    </row>
    <row r="235" spans="1:4" x14ac:dyDescent="0.3">
      <c r="A235" s="19" t="s">
        <v>36</v>
      </c>
      <c r="B235" s="16">
        <v>17620</v>
      </c>
      <c r="C235" s="16"/>
      <c r="D235" s="16">
        <v>17620</v>
      </c>
    </row>
    <row r="236" spans="1:4" x14ac:dyDescent="0.3">
      <c r="A236" s="24" t="s">
        <v>70</v>
      </c>
      <c r="B236" s="16">
        <v>17620</v>
      </c>
      <c r="C236" s="16"/>
      <c r="D236" s="16">
        <v>17620</v>
      </c>
    </row>
    <row r="237" spans="1:4" x14ac:dyDescent="0.3">
      <c r="A237" s="18" t="s">
        <v>64</v>
      </c>
      <c r="B237" s="16">
        <v>6612</v>
      </c>
      <c r="C237" s="16"/>
      <c r="D237" s="16">
        <v>6612</v>
      </c>
    </row>
    <row r="238" spans="1:4" x14ac:dyDescent="0.3">
      <c r="A238" s="19" t="s">
        <v>36</v>
      </c>
      <c r="B238" s="16">
        <v>6612</v>
      </c>
      <c r="C238" s="16"/>
      <c r="D238" s="16">
        <v>6612</v>
      </c>
    </row>
    <row r="239" spans="1:4" x14ac:dyDescent="0.3">
      <c r="A239" s="24" t="s">
        <v>63</v>
      </c>
      <c r="B239" s="16">
        <v>6612</v>
      </c>
      <c r="C239" s="16"/>
      <c r="D239" s="16">
        <v>6612</v>
      </c>
    </row>
    <row r="240" spans="1:4" x14ac:dyDescent="0.3">
      <c r="A240" s="18" t="s">
        <v>66</v>
      </c>
      <c r="B240" s="16">
        <v>55665.4</v>
      </c>
      <c r="C240" s="16"/>
      <c r="D240" s="16">
        <v>55665.4</v>
      </c>
    </row>
    <row r="241" spans="1:4" x14ac:dyDescent="0.3">
      <c r="A241" s="19" t="s">
        <v>36</v>
      </c>
      <c r="B241" s="16">
        <v>55665.4</v>
      </c>
      <c r="C241" s="16"/>
      <c r="D241" s="16">
        <v>55665.4</v>
      </c>
    </row>
    <row r="242" spans="1:4" x14ac:dyDescent="0.3">
      <c r="A242" s="24" t="s">
        <v>65</v>
      </c>
      <c r="B242" s="16">
        <v>48971.4</v>
      </c>
      <c r="C242" s="16"/>
      <c r="D242" s="16">
        <v>48971.4</v>
      </c>
    </row>
    <row r="243" spans="1:4" x14ac:dyDescent="0.3">
      <c r="A243" s="24" t="s">
        <v>67</v>
      </c>
      <c r="B243" s="16">
        <v>6694</v>
      </c>
      <c r="C243" s="16"/>
      <c r="D243" s="16">
        <v>6694</v>
      </c>
    </row>
    <row r="244" spans="1:4" x14ac:dyDescent="0.3">
      <c r="A244" s="18" t="s">
        <v>18</v>
      </c>
      <c r="B244" s="16">
        <v>47704</v>
      </c>
      <c r="C244" s="16"/>
      <c r="D244" s="16">
        <v>47704</v>
      </c>
    </row>
    <row r="245" spans="1:4" x14ac:dyDescent="0.3">
      <c r="A245" s="19" t="s">
        <v>36</v>
      </c>
      <c r="B245" s="16">
        <v>47704</v>
      </c>
      <c r="C245" s="16"/>
      <c r="D245" s="16">
        <v>47704</v>
      </c>
    </row>
    <row r="246" spans="1:4" x14ac:dyDescent="0.3">
      <c r="A246" s="24" t="s">
        <v>68</v>
      </c>
      <c r="B246" s="16">
        <v>38474</v>
      </c>
      <c r="C246" s="16"/>
      <c r="D246" s="16">
        <v>38474</v>
      </c>
    </row>
    <row r="247" spans="1:4" x14ac:dyDescent="0.3">
      <c r="A247" s="24" t="s">
        <v>69</v>
      </c>
      <c r="B247" s="16">
        <v>9230</v>
      </c>
      <c r="C247" s="16"/>
      <c r="D247" s="16">
        <v>9230</v>
      </c>
    </row>
    <row r="248" spans="1:4" x14ac:dyDescent="0.3">
      <c r="A248" s="25">
        <v>45995</v>
      </c>
      <c r="B248" s="16"/>
      <c r="C248" s="16">
        <v>7800</v>
      </c>
      <c r="D248" s="16">
        <v>7800</v>
      </c>
    </row>
    <row r="249" spans="1:4" x14ac:dyDescent="0.3">
      <c r="A249" s="19" t="s">
        <v>191</v>
      </c>
      <c r="B249" s="16"/>
      <c r="C249" s="16">
        <v>7800</v>
      </c>
      <c r="D249" s="16">
        <v>7800</v>
      </c>
    </row>
    <row r="250" spans="1:4" x14ac:dyDescent="0.3">
      <c r="A250" s="24" t="s">
        <v>39</v>
      </c>
      <c r="B250" s="16"/>
      <c r="C250" s="16">
        <v>7800</v>
      </c>
      <c r="D250" s="16">
        <v>7800</v>
      </c>
    </row>
    <row r="251" spans="1:4" x14ac:dyDescent="0.3">
      <c r="A251" s="25">
        <v>45998</v>
      </c>
      <c r="B251" s="16"/>
      <c r="C251" s="16">
        <v>20630</v>
      </c>
      <c r="D251" s="16">
        <v>20630</v>
      </c>
    </row>
    <row r="252" spans="1:4" x14ac:dyDescent="0.3">
      <c r="A252" s="19" t="s">
        <v>191</v>
      </c>
      <c r="B252" s="16"/>
      <c r="C252" s="16">
        <v>20630</v>
      </c>
      <c r="D252" s="16">
        <v>20630</v>
      </c>
    </row>
    <row r="253" spans="1:4" x14ac:dyDescent="0.3">
      <c r="A253" s="24" t="s">
        <v>41</v>
      </c>
      <c r="B253" s="16"/>
      <c r="C253" s="16">
        <v>10550</v>
      </c>
      <c r="D253" s="16">
        <v>10550</v>
      </c>
    </row>
    <row r="254" spans="1:4" x14ac:dyDescent="0.3">
      <c r="A254" s="24" t="s">
        <v>42</v>
      </c>
      <c r="B254" s="16"/>
      <c r="C254" s="16">
        <v>10080</v>
      </c>
      <c r="D254" s="16">
        <v>10080</v>
      </c>
    </row>
    <row r="255" spans="1:4" x14ac:dyDescent="0.3">
      <c r="A255" s="25">
        <v>45999</v>
      </c>
      <c r="B255" s="16"/>
      <c r="C255" s="16">
        <v>4576</v>
      </c>
      <c r="D255" s="16">
        <v>4576</v>
      </c>
    </row>
    <row r="256" spans="1:4" x14ac:dyDescent="0.3">
      <c r="A256" s="19" t="s">
        <v>191</v>
      </c>
      <c r="B256" s="16"/>
      <c r="C256" s="16">
        <v>4576</v>
      </c>
      <c r="D256" s="16">
        <v>4576</v>
      </c>
    </row>
    <row r="257" spans="1:4" x14ac:dyDescent="0.3">
      <c r="A257" s="24" t="s">
        <v>43</v>
      </c>
      <c r="B257" s="16"/>
      <c r="C257" s="16">
        <v>4576</v>
      </c>
      <c r="D257" s="16">
        <v>4576</v>
      </c>
    </row>
    <row r="258" spans="1:4" x14ac:dyDescent="0.3">
      <c r="A258" s="25">
        <v>46000</v>
      </c>
      <c r="B258" s="16"/>
      <c r="C258" s="16">
        <v>9000</v>
      </c>
      <c r="D258" s="16">
        <v>9000</v>
      </c>
    </row>
    <row r="259" spans="1:4" x14ac:dyDescent="0.3">
      <c r="A259" s="19" t="s">
        <v>191</v>
      </c>
      <c r="B259" s="16"/>
      <c r="C259" s="16">
        <v>9000</v>
      </c>
      <c r="D259" s="16">
        <v>9000</v>
      </c>
    </row>
    <row r="260" spans="1:4" x14ac:dyDescent="0.3">
      <c r="A260" s="24" t="s">
        <v>45</v>
      </c>
      <c r="B260" s="16"/>
      <c r="C260" s="16">
        <v>9000</v>
      </c>
      <c r="D260" s="16">
        <v>9000</v>
      </c>
    </row>
    <row r="261" spans="1:4" x14ac:dyDescent="0.3">
      <c r="A261" s="25">
        <v>46003</v>
      </c>
      <c r="B261" s="16"/>
      <c r="C261" s="16">
        <v>20751</v>
      </c>
      <c r="D261" s="16">
        <v>20751</v>
      </c>
    </row>
    <row r="262" spans="1:4" x14ac:dyDescent="0.3">
      <c r="A262" s="19" t="s">
        <v>191</v>
      </c>
      <c r="B262" s="16"/>
      <c r="C262" s="16">
        <v>20751</v>
      </c>
      <c r="D262" s="16">
        <v>20751</v>
      </c>
    </row>
    <row r="263" spans="1:4" x14ac:dyDescent="0.3">
      <c r="A263" s="24" t="s">
        <v>47</v>
      </c>
      <c r="B263" s="16"/>
      <c r="C263" s="16">
        <v>20751</v>
      </c>
      <c r="D263" s="16">
        <v>20751</v>
      </c>
    </row>
    <row r="264" spans="1:4" x14ac:dyDescent="0.3">
      <c r="A264" s="25">
        <v>46005</v>
      </c>
      <c r="B264" s="16"/>
      <c r="C264" s="16">
        <v>37480</v>
      </c>
      <c r="D264" s="16">
        <v>37480</v>
      </c>
    </row>
    <row r="265" spans="1:4" x14ac:dyDescent="0.3">
      <c r="A265" s="19" t="s">
        <v>191</v>
      </c>
      <c r="B265" s="16"/>
      <c r="C265" s="16">
        <v>37480</v>
      </c>
      <c r="D265" s="16">
        <v>37480</v>
      </c>
    </row>
    <row r="266" spans="1:4" x14ac:dyDescent="0.3">
      <c r="A266" s="24" t="s">
        <v>49</v>
      </c>
      <c r="B266" s="16"/>
      <c r="C266" s="16">
        <v>37480</v>
      </c>
      <c r="D266" s="16">
        <v>37480</v>
      </c>
    </row>
    <row r="267" spans="1:4" x14ac:dyDescent="0.3">
      <c r="A267" s="25">
        <v>46010</v>
      </c>
      <c r="B267" s="16"/>
      <c r="C267" s="16">
        <v>14806</v>
      </c>
      <c r="D267" s="16">
        <v>14806</v>
      </c>
    </row>
    <row r="268" spans="1:4" x14ac:dyDescent="0.3">
      <c r="A268" s="19" t="s">
        <v>191</v>
      </c>
      <c r="B268" s="16"/>
      <c r="C268" s="16">
        <v>14806</v>
      </c>
      <c r="D268" s="16">
        <v>14806</v>
      </c>
    </row>
    <row r="269" spans="1:4" x14ac:dyDescent="0.3">
      <c r="A269" s="24" t="s">
        <v>55</v>
      </c>
      <c r="B269" s="16"/>
      <c r="C269" s="16">
        <v>14806</v>
      </c>
      <c r="D269" s="16">
        <v>14806</v>
      </c>
    </row>
    <row r="270" spans="1:4" x14ac:dyDescent="0.3">
      <c r="A270" s="25">
        <v>46014</v>
      </c>
      <c r="B270" s="16"/>
      <c r="C270" s="16">
        <v>32894</v>
      </c>
      <c r="D270" s="16">
        <v>32894</v>
      </c>
    </row>
    <row r="271" spans="1:4" x14ac:dyDescent="0.3">
      <c r="A271" s="19" t="s">
        <v>191</v>
      </c>
      <c r="B271" s="16"/>
      <c r="C271" s="16">
        <v>32894</v>
      </c>
      <c r="D271" s="16">
        <v>32894</v>
      </c>
    </row>
    <row r="272" spans="1:4" x14ac:dyDescent="0.3">
      <c r="A272" s="24" t="s">
        <v>59</v>
      </c>
      <c r="B272" s="16"/>
      <c r="C272" s="16">
        <v>32894</v>
      </c>
      <c r="D272" s="16">
        <v>32894</v>
      </c>
    </row>
    <row r="273" spans="1:4" x14ac:dyDescent="0.3">
      <c r="A273" s="17" t="s">
        <v>19</v>
      </c>
      <c r="B273" s="16">
        <v>23993</v>
      </c>
      <c r="C273" s="16"/>
      <c r="D273" s="16">
        <v>23993</v>
      </c>
    </row>
    <row r="274" spans="1:4" x14ac:dyDescent="0.3">
      <c r="A274" s="18" t="s">
        <v>22</v>
      </c>
      <c r="B274" s="16">
        <v>3999</v>
      </c>
      <c r="C274" s="16"/>
      <c r="D274" s="16">
        <v>3999</v>
      </c>
    </row>
    <row r="275" spans="1:4" x14ac:dyDescent="0.3">
      <c r="A275" s="19" t="s">
        <v>20</v>
      </c>
      <c r="B275" s="16">
        <v>3999</v>
      </c>
      <c r="C275" s="16"/>
      <c r="D275" s="16">
        <v>3999</v>
      </c>
    </row>
    <row r="276" spans="1:4" x14ac:dyDescent="0.3">
      <c r="A276" s="24" t="s">
        <v>21</v>
      </c>
      <c r="B276" s="16">
        <v>3999</v>
      </c>
      <c r="C276" s="16"/>
      <c r="D276" s="16">
        <v>3999</v>
      </c>
    </row>
    <row r="277" spans="1:4" x14ac:dyDescent="0.3">
      <c r="A277" s="18" t="s">
        <v>26</v>
      </c>
      <c r="B277" s="16">
        <v>11996</v>
      </c>
      <c r="C277" s="16"/>
      <c r="D277" s="16">
        <v>11996</v>
      </c>
    </row>
    <row r="278" spans="1:4" x14ac:dyDescent="0.3">
      <c r="A278" s="19" t="s">
        <v>20</v>
      </c>
      <c r="B278" s="16">
        <v>11996</v>
      </c>
      <c r="C278" s="16"/>
      <c r="D278" s="16">
        <v>11996</v>
      </c>
    </row>
    <row r="279" spans="1:4" x14ac:dyDescent="0.3">
      <c r="A279" s="24" t="s">
        <v>25</v>
      </c>
      <c r="B279" s="16">
        <v>11996</v>
      </c>
      <c r="C279" s="16"/>
      <c r="D279" s="16">
        <v>11996</v>
      </c>
    </row>
    <row r="280" spans="1:4" x14ac:dyDescent="0.3">
      <c r="A280" s="18" t="s">
        <v>24</v>
      </c>
      <c r="B280" s="16">
        <v>7998</v>
      </c>
      <c r="C280" s="16"/>
      <c r="D280" s="16">
        <v>7998</v>
      </c>
    </row>
    <row r="281" spans="1:4" x14ac:dyDescent="0.3">
      <c r="A281" s="19" t="s">
        <v>20</v>
      </c>
      <c r="B281" s="16">
        <v>7998</v>
      </c>
      <c r="C281" s="16"/>
      <c r="D281" s="16">
        <v>7998</v>
      </c>
    </row>
    <row r="282" spans="1:4" x14ac:dyDescent="0.3">
      <c r="A282" s="24" t="s">
        <v>23</v>
      </c>
      <c r="B282" s="16">
        <v>7998</v>
      </c>
      <c r="C282" s="16"/>
      <c r="D282" s="16">
        <v>7998</v>
      </c>
    </row>
    <row r="283" spans="1:4" x14ac:dyDescent="0.3">
      <c r="A283" s="17" t="s">
        <v>31</v>
      </c>
      <c r="B283" s="16">
        <v>132806</v>
      </c>
      <c r="C283" s="16"/>
      <c r="D283" s="16">
        <v>132806</v>
      </c>
    </row>
    <row r="284" spans="1:4" x14ac:dyDescent="0.3">
      <c r="A284" s="18" t="s">
        <v>34</v>
      </c>
      <c r="B284" s="16">
        <v>132806</v>
      </c>
      <c r="C284" s="16"/>
      <c r="D284" s="16">
        <v>132806</v>
      </c>
    </row>
    <row r="285" spans="1:4" x14ac:dyDescent="0.3">
      <c r="A285" s="19" t="s">
        <v>32</v>
      </c>
      <c r="B285" s="16">
        <v>132806</v>
      </c>
      <c r="C285" s="16"/>
      <c r="D285" s="16">
        <v>132806</v>
      </c>
    </row>
    <row r="286" spans="1:4" x14ac:dyDescent="0.3">
      <c r="A286" s="24" t="s">
        <v>33</v>
      </c>
      <c r="B286" s="16">
        <v>132806</v>
      </c>
      <c r="C286" s="16"/>
      <c r="D286" s="16">
        <v>132806</v>
      </c>
    </row>
    <row r="287" spans="1:4" x14ac:dyDescent="0.3">
      <c r="A287" s="17" t="s">
        <v>71</v>
      </c>
      <c r="B287" s="16">
        <v>43860</v>
      </c>
      <c r="C287" s="16">
        <v>43860</v>
      </c>
      <c r="D287" s="16">
        <v>87720</v>
      </c>
    </row>
    <row r="288" spans="1:4" x14ac:dyDescent="0.3">
      <c r="A288" s="18" t="s">
        <v>64</v>
      </c>
      <c r="B288" s="16">
        <v>43860</v>
      </c>
      <c r="C288" s="16"/>
      <c r="D288" s="16">
        <v>43860</v>
      </c>
    </row>
    <row r="289" spans="1:4" x14ac:dyDescent="0.3">
      <c r="A289" s="19" t="s">
        <v>72</v>
      </c>
      <c r="B289" s="16">
        <v>43860</v>
      </c>
      <c r="C289" s="16"/>
      <c r="D289" s="16">
        <v>43860</v>
      </c>
    </row>
    <row r="290" spans="1:4" x14ac:dyDescent="0.3">
      <c r="A290" s="24" t="s">
        <v>73</v>
      </c>
      <c r="B290" s="16">
        <v>43860</v>
      </c>
      <c r="C290" s="16"/>
      <c r="D290" s="16">
        <v>43860</v>
      </c>
    </row>
    <row r="291" spans="1:4" x14ac:dyDescent="0.3">
      <c r="A291" s="25">
        <v>46019</v>
      </c>
      <c r="B291" s="16"/>
      <c r="C291" s="16">
        <v>43860</v>
      </c>
      <c r="D291" s="16">
        <v>43860</v>
      </c>
    </row>
    <row r="292" spans="1:4" x14ac:dyDescent="0.3">
      <c r="A292" s="19" t="s">
        <v>217</v>
      </c>
      <c r="B292" s="16"/>
      <c r="C292" s="16">
        <v>43860</v>
      </c>
      <c r="D292" s="16">
        <v>43860</v>
      </c>
    </row>
    <row r="293" spans="1:4" x14ac:dyDescent="0.3">
      <c r="A293" s="24" t="s">
        <v>218</v>
      </c>
      <c r="B293" s="16"/>
      <c r="C293" s="16">
        <v>43860</v>
      </c>
      <c r="D293" s="16">
        <v>43860</v>
      </c>
    </row>
    <row r="294" spans="1:4" x14ac:dyDescent="0.3">
      <c r="A294" s="17" t="s">
        <v>84</v>
      </c>
      <c r="B294" s="16">
        <v>197947</v>
      </c>
      <c r="C294" s="16"/>
      <c r="D294" s="16">
        <v>197947</v>
      </c>
    </row>
    <row r="295" spans="1:4" x14ac:dyDescent="0.3">
      <c r="A295" s="18" t="s">
        <v>46</v>
      </c>
      <c r="B295" s="16">
        <v>81200</v>
      </c>
      <c r="C295" s="16"/>
      <c r="D295" s="16">
        <v>81200</v>
      </c>
    </row>
    <row r="296" spans="1:4" x14ac:dyDescent="0.3">
      <c r="A296" s="19" t="s">
        <v>85</v>
      </c>
      <c r="B296" s="16">
        <v>81200</v>
      </c>
      <c r="C296" s="16"/>
      <c r="D296" s="16">
        <v>81200</v>
      </c>
    </row>
    <row r="297" spans="1:4" x14ac:dyDescent="0.3">
      <c r="A297" s="24" t="s">
        <v>86</v>
      </c>
      <c r="B297" s="16">
        <v>81200</v>
      </c>
      <c r="C297" s="16"/>
      <c r="D297" s="16">
        <v>81200</v>
      </c>
    </row>
    <row r="298" spans="1:4" x14ac:dyDescent="0.3">
      <c r="A298" s="18" t="s">
        <v>48</v>
      </c>
      <c r="B298" s="16">
        <v>70247</v>
      </c>
      <c r="C298" s="16"/>
      <c r="D298" s="16">
        <v>70247</v>
      </c>
    </row>
    <row r="299" spans="1:4" x14ac:dyDescent="0.3">
      <c r="A299" s="19" t="s">
        <v>85</v>
      </c>
      <c r="B299" s="16">
        <v>70247</v>
      </c>
      <c r="C299" s="16"/>
      <c r="D299" s="16">
        <v>70247</v>
      </c>
    </row>
    <row r="300" spans="1:4" x14ac:dyDescent="0.3">
      <c r="A300" s="24" t="s">
        <v>87</v>
      </c>
      <c r="B300" s="16">
        <v>70247</v>
      </c>
      <c r="C300" s="16"/>
      <c r="D300" s="16">
        <v>70247</v>
      </c>
    </row>
    <row r="301" spans="1:4" x14ac:dyDescent="0.3">
      <c r="A301" s="18" t="s">
        <v>89</v>
      </c>
      <c r="B301" s="16">
        <v>46500</v>
      </c>
      <c r="C301" s="16"/>
      <c r="D301" s="16">
        <v>46500</v>
      </c>
    </row>
    <row r="302" spans="1:4" x14ac:dyDescent="0.3">
      <c r="A302" s="19" t="s">
        <v>85</v>
      </c>
      <c r="B302" s="16">
        <v>46500</v>
      </c>
      <c r="C302" s="16"/>
      <c r="D302" s="16">
        <v>46500</v>
      </c>
    </row>
    <row r="303" spans="1:4" x14ac:dyDescent="0.3">
      <c r="A303" s="24" t="s">
        <v>88</v>
      </c>
      <c r="B303" s="16">
        <v>46500</v>
      </c>
      <c r="C303" s="16"/>
      <c r="D303" s="16">
        <v>46500</v>
      </c>
    </row>
    <row r="304" spans="1:4" x14ac:dyDescent="0.3">
      <c r="A304" s="17" t="s">
        <v>215</v>
      </c>
      <c r="B304" s="16"/>
      <c r="C304" s="16">
        <v>132806</v>
      </c>
      <c r="D304" s="16">
        <v>132806</v>
      </c>
    </row>
    <row r="305" spans="1:4" x14ac:dyDescent="0.3">
      <c r="A305" s="25">
        <v>46018</v>
      </c>
      <c r="B305" s="16"/>
      <c r="C305" s="16">
        <v>132806</v>
      </c>
      <c r="D305" s="16">
        <v>132806</v>
      </c>
    </row>
    <row r="306" spans="1:4" x14ac:dyDescent="0.3">
      <c r="A306" s="19" t="s">
        <v>214</v>
      </c>
      <c r="B306" s="16"/>
      <c r="C306" s="16">
        <v>132806</v>
      </c>
      <c r="D306" s="16">
        <v>132806</v>
      </c>
    </row>
    <row r="307" spans="1:4" x14ac:dyDescent="0.3">
      <c r="A307" s="24" t="s">
        <v>33</v>
      </c>
      <c r="B307" s="16"/>
      <c r="C307" s="16">
        <v>132806</v>
      </c>
      <c r="D307" s="16">
        <v>132806</v>
      </c>
    </row>
    <row r="308" spans="1:4" x14ac:dyDescent="0.3">
      <c r="A308" s="17" t="s">
        <v>151</v>
      </c>
      <c r="B308" s="16">
        <v>7349</v>
      </c>
      <c r="C308" s="16">
        <v>7349</v>
      </c>
      <c r="D308" s="16">
        <v>14698</v>
      </c>
    </row>
    <row r="309" spans="1:4" x14ac:dyDescent="0.3">
      <c r="A309" s="18" t="s">
        <v>56</v>
      </c>
      <c r="B309" s="16">
        <v>7349</v>
      </c>
      <c r="C309" s="16"/>
      <c r="D309" s="16">
        <v>7349</v>
      </c>
    </row>
    <row r="310" spans="1:4" x14ac:dyDescent="0.3">
      <c r="A310" s="19" t="s">
        <v>152</v>
      </c>
      <c r="B310" s="16">
        <v>7349</v>
      </c>
      <c r="C310" s="16"/>
      <c r="D310" s="16">
        <v>7349</v>
      </c>
    </row>
    <row r="311" spans="1:4" x14ac:dyDescent="0.3">
      <c r="A311" s="24" t="s">
        <v>153</v>
      </c>
      <c r="B311" s="16">
        <v>7349</v>
      </c>
      <c r="C311" s="16"/>
      <c r="D311" s="16">
        <v>7349</v>
      </c>
    </row>
    <row r="312" spans="1:4" x14ac:dyDescent="0.3">
      <c r="A312" s="25">
        <v>46010</v>
      </c>
      <c r="B312" s="16"/>
      <c r="C312" s="16">
        <v>7349</v>
      </c>
      <c r="D312" s="16">
        <v>7349</v>
      </c>
    </row>
    <row r="313" spans="1:4" x14ac:dyDescent="0.3">
      <c r="A313" s="19" t="s">
        <v>207</v>
      </c>
      <c r="B313" s="16"/>
      <c r="C313" s="16">
        <v>7349</v>
      </c>
      <c r="D313" s="16">
        <v>7349</v>
      </c>
    </row>
    <row r="314" spans="1:4" x14ac:dyDescent="0.3">
      <c r="A314" s="24" t="s">
        <v>153</v>
      </c>
      <c r="B314" s="16"/>
      <c r="C314" s="16">
        <v>7349</v>
      </c>
      <c r="D314" s="16">
        <v>7349</v>
      </c>
    </row>
    <row r="315" spans="1:4" x14ac:dyDescent="0.3">
      <c r="A315" s="17" t="s">
        <v>103</v>
      </c>
      <c r="B315" s="16">
        <v>6099</v>
      </c>
      <c r="C315" s="16">
        <v>6099</v>
      </c>
      <c r="D315" s="16">
        <v>12198</v>
      </c>
    </row>
    <row r="316" spans="1:4" x14ac:dyDescent="0.3">
      <c r="A316" s="18" t="s">
        <v>50</v>
      </c>
      <c r="B316" s="16">
        <v>6099</v>
      </c>
      <c r="C316" s="16"/>
      <c r="D316" s="16">
        <v>6099</v>
      </c>
    </row>
    <row r="317" spans="1:4" x14ac:dyDescent="0.3">
      <c r="A317" s="19" t="s">
        <v>104</v>
      </c>
      <c r="B317" s="16">
        <v>6099</v>
      </c>
      <c r="C317" s="16"/>
      <c r="D317" s="16">
        <v>6099</v>
      </c>
    </row>
    <row r="318" spans="1:4" x14ac:dyDescent="0.3">
      <c r="A318" s="24" t="s">
        <v>105</v>
      </c>
      <c r="B318" s="16">
        <v>6099</v>
      </c>
      <c r="C318" s="16"/>
      <c r="D318" s="16">
        <v>6099</v>
      </c>
    </row>
    <row r="319" spans="1:4" x14ac:dyDescent="0.3">
      <c r="A319" s="25">
        <v>46005</v>
      </c>
      <c r="B319" s="16"/>
      <c r="C319" s="16">
        <v>6099</v>
      </c>
      <c r="D319" s="16">
        <v>6099</v>
      </c>
    </row>
    <row r="320" spans="1:4" x14ac:dyDescent="0.3">
      <c r="A320" s="19" t="s">
        <v>200</v>
      </c>
      <c r="B320" s="16"/>
      <c r="C320" s="16">
        <v>6099</v>
      </c>
      <c r="D320" s="16">
        <v>6099</v>
      </c>
    </row>
    <row r="321" spans="1:4" x14ac:dyDescent="0.3">
      <c r="A321" s="24" t="s">
        <v>105</v>
      </c>
      <c r="B321" s="16"/>
      <c r="C321" s="16">
        <v>6099</v>
      </c>
      <c r="D321" s="16">
        <v>6099</v>
      </c>
    </row>
    <row r="322" spans="1:4" x14ac:dyDescent="0.3">
      <c r="A322" s="17" t="s">
        <v>164</v>
      </c>
      <c r="B322" s="16">
        <v>16000</v>
      </c>
      <c r="C322" s="16">
        <v>16000</v>
      </c>
      <c r="D322" s="16">
        <v>32000</v>
      </c>
    </row>
    <row r="323" spans="1:4" x14ac:dyDescent="0.3">
      <c r="A323" s="18" t="s">
        <v>147</v>
      </c>
      <c r="B323" s="16">
        <v>16000</v>
      </c>
      <c r="C323" s="16"/>
      <c r="D323" s="16">
        <v>16000</v>
      </c>
    </row>
    <row r="324" spans="1:4" x14ac:dyDescent="0.3">
      <c r="A324" s="19" t="s">
        <v>165</v>
      </c>
      <c r="B324" s="16">
        <v>16000</v>
      </c>
      <c r="C324" s="16"/>
      <c r="D324" s="16">
        <v>16000</v>
      </c>
    </row>
    <row r="325" spans="1:4" x14ac:dyDescent="0.3">
      <c r="A325" s="24" t="s">
        <v>166</v>
      </c>
      <c r="B325" s="16">
        <v>16000</v>
      </c>
      <c r="C325" s="16"/>
      <c r="D325" s="16">
        <v>16000</v>
      </c>
    </row>
    <row r="326" spans="1:4" x14ac:dyDescent="0.3">
      <c r="A326" s="25">
        <v>46001</v>
      </c>
      <c r="B326" s="16"/>
      <c r="C326" s="16">
        <v>16000</v>
      </c>
      <c r="D326" s="16">
        <v>16000</v>
      </c>
    </row>
    <row r="327" spans="1:4" x14ac:dyDescent="0.3">
      <c r="A327" s="19" t="s">
        <v>165</v>
      </c>
      <c r="B327" s="16"/>
      <c r="C327" s="16">
        <v>16000</v>
      </c>
      <c r="D327" s="16">
        <v>16000</v>
      </c>
    </row>
    <row r="328" spans="1:4" x14ac:dyDescent="0.3">
      <c r="A328" s="24" t="s">
        <v>166</v>
      </c>
      <c r="B328" s="16"/>
      <c r="C328" s="16">
        <v>16000</v>
      </c>
      <c r="D328" s="16">
        <v>16000</v>
      </c>
    </row>
    <row r="329" spans="1:4" x14ac:dyDescent="0.3">
      <c r="A329" s="17" t="s">
        <v>181</v>
      </c>
      <c r="B329" s="16">
        <v>22113</v>
      </c>
      <c r="C329" s="16">
        <v>22113</v>
      </c>
      <c r="D329" s="16">
        <v>44226</v>
      </c>
    </row>
    <row r="330" spans="1:4" x14ac:dyDescent="0.3">
      <c r="A330" s="18" t="s">
        <v>62</v>
      </c>
      <c r="B330" s="16">
        <v>22113</v>
      </c>
      <c r="C330" s="16"/>
      <c r="D330" s="16">
        <v>22113</v>
      </c>
    </row>
    <row r="331" spans="1:4" x14ac:dyDescent="0.3">
      <c r="A331" s="19" t="s">
        <v>182</v>
      </c>
      <c r="B331" s="16">
        <v>22113</v>
      </c>
      <c r="C331" s="16"/>
      <c r="D331" s="16">
        <v>22113</v>
      </c>
    </row>
    <row r="332" spans="1:4" x14ac:dyDescent="0.3">
      <c r="A332" s="24" t="s">
        <v>183</v>
      </c>
      <c r="B332" s="16">
        <v>22113</v>
      </c>
      <c r="C332" s="16"/>
      <c r="D332" s="16">
        <v>22113</v>
      </c>
    </row>
    <row r="333" spans="1:4" x14ac:dyDescent="0.3">
      <c r="A333" s="25">
        <v>46016</v>
      </c>
      <c r="B333" s="16"/>
      <c r="C333" s="16">
        <v>22113</v>
      </c>
      <c r="D333" s="16">
        <v>22113</v>
      </c>
    </row>
    <row r="334" spans="1:4" x14ac:dyDescent="0.3">
      <c r="A334" s="19" t="s">
        <v>210</v>
      </c>
      <c r="B334" s="16"/>
      <c r="C334" s="16">
        <v>22113</v>
      </c>
      <c r="D334" s="16">
        <v>22113</v>
      </c>
    </row>
    <row r="335" spans="1:4" x14ac:dyDescent="0.3">
      <c r="A335" s="24" t="s">
        <v>183</v>
      </c>
      <c r="B335" s="16"/>
      <c r="C335" s="16">
        <v>22113</v>
      </c>
      <c r="D335" s="16">
        <v>22113</v>
      </c>
    </row>
    <row r="336" spans="1:4" x14ac:dyDescent="0.3">
      <c r="A336" s="17" t="s">
        <v>154</v>
      </c>
      <c r="B336" s="16">
        <v>344240</v>
      </c>
      <c r="C336" s="16">
        <v>344240</v>
      </c>
      <c r="D336" s="16">
        <v>688480</v>
      </c>
    </row>
    <row r="337" spans="1:4" x14ac:dyDescent="0.3">
      <c r="A337" s="18" t="s">
        <v>40</v>
      </c>
      <c r="B337" s="16">
        <v>49200</v>
      </c>
      <c r="C337" s="16"/>
      <c r="D337" s="16">
        <v>49200</v>
      </c>
    </row>
    <row r="338" spans="1:4" x14ac:dyDescent="0.3">
      <c r="A338" s="19" t="s">
        <v>155</v>
      </c>
      <c r="B338" s="16">
        <v>49200</v>
      </c>
      <c r="C338" s="16"/>
      <c r="D338" s="16">
        <v>49200</v>
      </c>
    </row>
    <row r="339" spans="1:4" x14ac:dyDescent="0.3">
      <c r="A339" s="24" t="s">
        <v>156</v>
      </c>
      <c r="B339" s="16">
        <v>49200</v>
      </c>
      <c r="C339" s="16"/>
      <c r="D339" s="16">
        <v>49200</v>
      </c>
    </row>
    <row r="340" spans="1:4" x14ac:dyDescent="0.3">
      <c r="A340" s="18" t="s">
        <v>77</v>
      </c>
      <c r="B340" s="16">
        <v>49600</v>
      </c>
      <c r="C340" s="16"/>
      <c r="D340" s="16">
        <v>49600</v>
      </c>
    </row>
    <row r="341" spans="1:4" x14ac:dyDescent="0.3">
      <c r="A341" s="19" t="s">
        <v>155</v>
      </c>
      <c r="B341" s="16">
        <v>49600</v>
      </c>
      <c r="C341" s="16"/>
      <c r="D341" s="16">
        <v>49600</v>
      </c>
    </row>
    <row r="342" spans="1:4" x14ac:dyDescent="0.3">
      <c r="A342" s="24" t="s">
        <v>157</v>
      </c>
      <c r="B342" s="16">
        <v>49600</v>
      </c>
      <c r="C342" s="16"/>
      <c r="D342" s="16">
        <v>49600</v>
      </c>
    </row>
    <row r="343" spans="1:4" x14ac:dyDescent="0.3">
      <c r="A343" s="18" t="s">
        <v>48</v>
      </c>
      <c r="B343" s="16">
        <v>48600</v>
      </c>
      <c r="C343" s="16"/>
      <c r="D343" s="16">
        <v>48600</v>
      </c>
    </row>
    <row r="344" spans="1:4" x14ac:dyDescent="0.3">
      <c r="A344" s="19" t="s">
        <v>155</v>
      </c>
      <c r="B344" s="16">
        <v>48600</v>
      </c>
      <c r="C344" s="16"/>
      <c r="D344" s="16">
        <v>48600</v>
      </c>
    </row>
    <row r="345" spans="1:4" x14ac:dyDescent="0.3">
      <c r="A345" s="24" t="s">
        <v>158</v>
      </c>
      <c r="B345" s="16">
        <v>48600</v>
      </c>
      <c r="C345" s="16"/>
      <c r="D345" s="16">
        <v>48600</v>
      </c>
    </row>
    <row r="346" spans="1:4" x14ac:dyDescent="0.3">
      <c r="A346" s="18" t="s">
        <v>56</v>
      </c>
      <c r="B346" s="16">
        <v>49200</v>
      </c>
      <c r="C346" s="16"/>
      <c r="D346" s="16">
        <v>49200</v>
      </c>
    </row>
    <row r="347" spans="1:4" x14ac:dyDescent="0.3">
      <c r="A347" s="19" t="s">
        <v>155</v>
      </c>
      <c r="B347" s="16">
        <v>49200</v>
      </c>
      <c r="C347" s="16"/>
      <c r="D347" s="16">
        <v>49200</v>
      </c>
    </row>
    <row r="348" spans="1:4" x14ac:dyDescent="0.3">
      <c r="A348" s="24" t="s">
        <v>159</v>
      </c>
      <c r="B348" s="16">
        <v>49200</v>
      </c>
      <c r="C348" s="16"/>
      <c r="D348" s="16">
        <v>49200</v>
      </c>
    </row>
    <row r="349" spans="1:4" x14ac:dyDescent="0.3">
      <c r="A349" s="18" t="s">
        <v>161</v>
      </c>
      <c r="B349" s="16">
        <v>49540</v>
      </c>
      <c r="C349" s="16"/>
      <c r="D349" s="16">
        <v>49540</v>
      </c>
    </row>
    <row r="350" spans="1:4" x14ac:dyDescent="0.3">
      <c r="A350" s="19" t="s">
        <v>155</v>
      </c>
      <c r="B350" s="16">
        <v>49540</v>
      </c>
      <c r="C350" s="16"/>
      <c r="D350" s="16">
        <v>49540</v>
      </c>
    </row>
    <row r="351" spans="1:4" x14ac:dyDescent="0.3">
      <c r="A351" s="24" t="s">
        <v>160</v>
      </c>
      <c r="B351" s="16">
        <v>49540</v>
      </c>
      <c r="C351" s="16"/>
      <c r="D351" s="16">
        <v>49540</v>
      </c>
    </row>
    <row r="352" spans="1:4" x14ac:dyDescent="0.3">
      <c r="A352" s="18" t="s">
        <v>14</v>
      </c>
      <c r="B352" s="16">
        <v>49500</v>
      </c>
      <c r="C352" s="16"/>
      <c r="D352" s="16">
        <v>49500</v>
      </c>
    </row>
    <row r="353" spans="1:4" x14ac:dyDescent="0.3">
      <c r="A353" s="19" t="s">
        <v>155</v>
      </c>
      <c r="B353" s="16">
        <v>49500</v>
      </c>
      <c r="C353" s="16"/>
      <c r="D353" s="16">
        <v>49500</v>
      </c>
    </row>
    <row r="354" spans="1:4" x14ac:dyDescent="0.3">
      <c r="A354" s="24" t="s">
        <v>162</v>
      </c>
      <c r="B354" s="16">
        <v>49500</v>
      </c>
      <c r="C354" s="16"/>
      <c r="D354" s="16">
        <v>49500</v>
      </c>
    </row>
    <row r="355" spans="1:4" x14ac:dyDescent="0.3">
      <c r="A355" s="18" t="s">
        <v>62</v>
      </c>
      <c r="B355" s="16">
        <v>48600</v>
      </c>
      <c r="C355" s="16"/>
      <c r="D355" s="16">
        <v>48600</v>
      </c>
    </row>
    <row r="356" spans="1:4" x14ac:dyDescent="0.3">
      <c r="A356" s="19" t="s">
        <v>155</v>
      </c>
      <c r="B356" s="16">
        <v>48600</v>
      </c>
      <c r="C356" s="16"/>
      <c r="D356" s="16">
        <v>48600</v>
      </c>
    </row>
    <row r="357" spans="1:4" x14ac:dyDescent="0.3">
      <c r="A357" s="24" t="s">
        <v>163</v>
      </c>
      <c r="B357" s="16">
        <v>48600</v>
      </c>
      <c r="C357" s="16"/>
      <c r="D357" s="16">
        <v>48600</v>
      </c>
    </row>
    <row r="358" spans="1:4" x14ac:dyDescent="0.3">
      <c r="A358" s="25">
        <v>45995</v>
      </c>
      <c r="B358" s="16"/>
      <c r="C358" s="16">
        <v>49200</v>
      </c>
      <c r="D358" s="16">
        <v>49200</v>
      </c>
    </row>
    <row r="359" spans="1:4" x14ac:dyDescent="0.3">
      <c r="A359" s="19" t="s">
        <v>155</v>
      </c>
      <c r="B359" s="16"/>
      <c r="C359" s="16">
        <v>49200</v>
      </c>
      <c r="D359" s="16">
        <v>49200</v>
      </c>
    </row>
    <row r="360" spans="1:4" x14ac:dyDescent="0.3">
      <c r="A360" s="24" t="s">
        <v>156</v>
      </c>
      <c r="B360" s="16"/>
      <c r="C360" s="16">
        <v>49200</v>
      </c>
      <c r="D360" s="16">
        <v>49200</v>
      </c>
    </row>
    <row r="361" spans="1:4" x14ac:dyDescent="0.3">
      <c r="A361" s="25">
        <v>45997</v>
      </c>
      <c r="B361" s="16"/>
      <c r="C361" s="16">
        <v>49600</v>
      </c>
      <c r="D361" s="16">
        <v>49600</v>
      </c>
    </row>
    <row r="362" spans="1:4" x14ac:dyDescent="0.3">
      <c r="A362" s="19" t="s">
        <v>155</v>
      </c>
      <c r="B362" s="16"/>
      <c r="C362" s="16">
        <v>49600</v>
      </c>
      <c r="D362" s="16">
        <v>49600</v>
      </c>
    </row>
    <row r="363" spans="1:4" x14ac:dyDescent="0.3">
      <c r="A363" s="24" t="s">
        <v>157</v>
      </c>
      <c r="B363" s="16"/>
      <c r="C363" s="16">
        <v>49600</v>
      </c>
      <c r="D363" s="16">
        <v>49600</v>
      </c>
    </row>
    <row r="364" spans="1:4" x14ac:dyDescent="0.3">
      <c r="A364" s="25">
        <v>46003</v>
      </c>
      <c r="B364" s="16"/>
      <c r="C364" s="16">
        <v>48600</v>
      </c>
      <c r="D364" s="16">
        <v>48600</v>
      </c>
    </row>
    <row r="365" spans="1:4" x14ac:dyDescent="0.3">
      <c r="A365" s="19" t="s">
        <v>155</v>
      </c>
      <c r="B365" s="16"/>
      <c r="C365" s="16">
        <v>48600</v>
      </c>
      <c r="D365" s="16">
        <v>48600</v>
      </c>
    </row>
    <row r="366" spans="1:4" x14ac:dyDescent="0.3">
      <c r="A366" s="24" t="s">
        <v>158</v>
      </c>
      <c r="B366" s="16"/>
      <c r="C366" s="16">
        <v>48600</v>
      </c>
      <c r="D366" s="16">
        <v>48600</v>
      </c>
    </row>
    <row r="367" spans="1:4" x14ac:dyDescent="0.3">
      <c r="A367" s="25">
        <v>46010</v>
      </c>
      <c r="B367" s="16"/>
      <c r="C367" s="16">
        <v>49200</v>
      </c>
      <c r="D367" s="16">
        <v>49200</v>
      </c>
    </row>
    <row r="368" spans="1:4" x14ac:dyDescent="0.3">
      <c r="A368" s="19" t="s">
        <v>155</v>
      </c>
      <c r="B368" s="16"/>
      <c r="C368" s="16">
        <v>49200</v>
      </c>
      <c r="D368" s="16">
        <v>49200</v>
      </c>
    </row>
    <row r="369" spans="1:4" x14ac:dyDescent="0.3">
      <c r="A369" s="24" t="s">
        <v>159</v>
      </c>
      <c r="B369" s="16"/>
      <c r="C369" s="16">
        <v>49200</v>
      </c>
      <c r="D369" s="16">
        <v>49200</v>
      </c>
    </row>
    <row r="370" spans="1:4" x14ac:dyDescent="0.3">
      <c r="A370" s="25">
        <v>46013</v>
      </c>
      <c r="B370" s="16"/>
      <c r="C370" s="16">
        <v>49540</v>
      </c>
      <c r="D370" s="16">
        <v>49540</v>
      </c>
    </row>
    <row r="371" spans="1:4" x14ac:dyDescent="0.3">
      <c r="A371" s="19" t="s">
        <v>155</v>
      </c>
      <c r="B371" s="16"/>
      <c r="C371" s="16">
        <v>49540</v>
      </c>
      <c r="D371" s="16">
        <v>49540</v>
      </c>
    </row>
    <row r="372" spans="1:4" x14ac:dyDescent="0.3">
      <c r="A372" s="24" t="s">
        <v>160</v>
      </c>
      <c r="B372" s="16"/>
      <c r="C372" s="16">
        <v>49540</v>
      </c>
      <c r="D372" s="16">
        <v>49540</v>
      </c>
    </row>
    <row r="373" spans="1:4" x14ac:dyDescent="0.3">
      <c r="A373" s="25">
        <v>46014</v>
      </c>
      <c r="B373" s="16"/>
      <c r="C373" s="16">
        <v>49500</v>
      </c>
      <c r="D373" s="16">
        <v>49500</v>
      </c>
    </row>
    <row r="374" spans="1:4" x14ac:dyDescent="0.3">
      <c r="A374" s="19" t="s">
        <v>155</v>
      </c>
      <c r="B374" s="16"/>
      <c r="C374" s="16">
        <v>49500</v>
      </c>
      <c r="D374" s="16">
        <v>49500</v>
      </c>
    </row>
    <row r="375" spans="1:4" x14ac:dyDescent="0.3">
      <c r="A375" s="24" t="s">
        <v>162</v>
      </c>
      <c r="B375" s="16"/>
      <c r="C375" s="16">
        <v>49500</v>
      </c>
      <c r="D375" s="16">
        <v>49500</v>
      </c>
    </row>
    <row r="376" spans="1:4" x14ac:dyDescent="0.3">
      <c r="A376" s="25">
        <v>46016</v>
      </c>
      <c r="B376" s="16"/>
      <c r="C376" s="16">
        <v>48600</v>
      </c>
      <c r="D376" s="16">
        <v>48600</v>
      </c>
    </row>
    <row r="377" spans="1:4" x14ac:dyDescent="0.3">
      <c r="A377" s="19" t="s">
        <v>155</v>
      </c>
      <c r="B377" s="16"/>
      <c r="C377" s="16">
        <v>48600</v>
      </c>
      <c r="D377" s="16">
        <v>48600</v>
      </c>
    </row>
    <row r="378" spans="1:4" x14ac:dyDescent="0.3">
      <c r="A378" s="24" t="s">
        <v>211</v>
      </c>
      <c r="B378" s="16"/>
      <c r="C378" s="16">
        <v>48600</v>
      </c>
      <c r="D378" s="16">
        <v>48600</v>
      </c>
    </row>
    <row r="379" spans="1:4" x14ac:dyDescent="0.3">
      <c r="A379" s="17" t="s">
        <v>221</v>
      </c>
      <c r="B379" s="16"/>
      <c r="C379" s="16">
        <v>1010</v>
      </c>
      <c r="D379" s="16">
        <v>1010</v>
      </c>
    </row>
    <row r="380" spans="1:4" x14ac:dyDescent="0.3">
      <c r="A380" s="25">
        <v>46021</v>
      </c>
      <c r="B380" s="16"/>
      <c r="C380" s="16">
        <v>1010</v>
      </c>
      <c r="D380" s="16">
        <v>1010</v>
      </c>
    </row>
    <row r="381" spans="1:4" x14ac:dyDescent="0.3">
      <c r="A381" s="19" t="s">
        <v>219</v>
      </c>
      <c r="B381" s="16"/>
      <c r="C381" s="16">
        <v>1010</v>
      </c>
      <c r="D381" s="16">
        <v>1010</v>
      </c>
    </row>
    <row r="382" spans="1:4" x14ac:dyDescent="0.3">
      <c r="A382" s="24" t="s">
        <v>220</v>
      </c>
      <c r="B382" s="16"/>
      <c r="C382" s="16">
        <v>1010</v>
      </c>
      <c r="D382" s="16">
        <v>1010</v>
      </c>
    </row>
    <row r="383" spans="1:4" x14ac:dyDescent="0.3">
      <c r="A383" s="17" t="s">
        <v>27</v>
      </c>
      <c r="B383" s="16">
        <v>9750</v>
      </c>
      <c r="C383" s="16">
        <v>9750</v>
      </c>
      <c r="D383" s="16">
        <v>19500</v>
      </c>
    </row>
    <row r="384" spans="1:4" x14ac:dyDescent="0.3">
      <c r="A384" s="18" t="s">
        <v>30</v>
      </c>
      <c r="B384" s="16">
        <v>9750</v>
      </c>
      <c r="C384" s="16"/>
      <c r="D384" s="16">
        <v>9750</v>
      </c>
    </row>
    <row r="385" spans="1:4" x14ac:dyDescent="0.3">
      <c r="A385" s="19" t="s">
        <v>28</v>
      </c>
      <c r="B385" s="16">
        <v>9750</v>
      </c>
      <c r="C385" s="16"/>
      <c r="D385" s="16">
        <v>9750</v>
      </c>
    </row>
    <row r="386" spans="1:4" x14ac:dyDescent="0.3">
      <c r="A386" s="24" t="s">
        <v>29</v>
      </c>
      <c r="B386" s="16">
        <v>9750</v>
      </c>
      <c r="C386" s="16"/>
      <c r="D386" s="16">
        <v>9750</v>
      </c>
    </row>
    <row r="387" spans="1:4" x14ac:dyDescent="0.3">
      <c r="A387" s="25">
        <v>46006</v>
      </c>
      <c r="B387" s="16"/>
      <c r="C387" s="16">
        <v>9750</v>
      </c>
      <c r="D387" s="16">
        <v>9750</v>
      </c>
    </row>
    <row r="388" spans="1:4" x14ac:dyDescent="0.3">
      <c r="A388" s="19" t="s">
        <v>202</v>
      </c>
      <c r="B388" s="16"/>
      <c r="C388" s="16">
        <v>9750</v>
      </c>
      <c r="D388" s="16">
        <v>9750</v>
      </c>
    </row>
    <row r="389" spans="1:4" x14ac:dyDescent="0.3">
      <c r="A389" s="24" t="s">
        <v>29</v>
      </c>
      <c r="B389" s="16"/>
      <c r="C389" s="16">
        <v>9750</v>
      </c>
      <c r="D389" s="16">
        <v>9750</v>
      </c>
    </row>
    <row r="390" spans="1:4" x14ac:dyDescent="0.3">
      <c r="A390" s="17" t="s">
        <v>173</v>
      </c>
      <c r="B390" s="16">
        <v>49071</v>
      </c>
      <c r="C390" s="16">
        <v>49071</v>
      </c>
      <c r="D390" s="16">
        <v>98142</v>
      </c>
    </row>
    <row r="391" spans="1:4" x14ac:dyDescent="0.3">
      <c r="A391" s="18" t="s">
        <v>119</v>
      </c>
      <c r="B391" s="16">
        <v>4439</v>
      </c>
      <c r="C391" s="16"/>
      <c r="D391" s="16">
        <v>4439</v>
      </c>
    </row>
    <row r="392" spans="1:4" x14ac:dyDescent="0.3">
      <c r="A392" s="19" t="s">
        <v>174</v>
      </c>
      <c r="B392" s="16">
        <v>4439</v>
      </c>
      <c r="C392" s="16"/>
      <c r="D392" s="16">
        <v>4439</v>
      </c>
    </row>
    <row r="393" spans="1:4" x14ac:dyDescent="0.3">
      <c r="A393" s="24" t="s">
        <v>175</v>
      </c>
      <c r="B393" s="16">
        <v>4439</v>
      </c>
      <c r="C393" s="16"/>
      <c r="D393" s="16">
        <v>4439</v>
      </c>
    </row>
    <row r="394" spans="1:4" x14ac:dyDescent="0.3">
      <c r="A394" s="18" t="s">
        <v>161</v>
      </c>
      <c r="B394" s="16">
        <v>44632</v>
      </c>
      <c r="C394" s="16"/>
      <c r="D394" s="16">
        <v>44632</v>
      </c>
    </row>
    <row r="395" spans="1:4" x14ac:dyDescent="0.3">
      <c r="A395" s="19" t="s">
        <v>174</v>
      </c>
      <c r="B395" s="16">
        <v>44632</v>
      </c>
      <c r="C395" s="16"/>
      <c r="D395" s="16">
        <v>44632</v>
      </c>
    </row>
    <row r="396" spans="1:4" x14ac:dyDescent="0.3">
      <c r="A396" s="24" t="s">
        <v>176</v>
      </c>
      <c r="B396" s="16">
        <v>44632</v>
      </c>
      <c r="C396" s="16"/>
      <c r="D396" s="16">
        <v>44632</v>
      </c>
    </row>
    <row r="397" spans="1:4" x14ac:dyDescent="0.3">
      <c r="A397" s="25">
        <v>45992</v>
      </c>
      <c r="B397" s="16"/>
      <c r="C397" s="16">
        <v>4439</v>
      </c>
      <c r="D397" s="16">
        <v>4439</v>
      </c>
    </row>
    <row r="398" spans="1:4" x14ac:dyDescent="0.3">
      <c r="A398" s="19" t="s">
        <v>188</v>
      </c>
      <c r="B398" s="16"/>
      <c r="C398" s="16">
        <v>4439</v>
      </c>
      <c r="D398" s="16">
        <v>4439</v>
      </c>
    </row>
    <row r="399" spans="1:4" x14ac:dyDescent="0.3">
      <c r="A399" s="24" t="s">
        <v>175</v>
      </c>
      <c r="B399" s="16"/>
      <c r="C399" s="16">
        <v>4439</v>
      </c>
      <c r="D399" s="16">
        <v>4439</v>
      </c>
    </row>
    <row r="400" spans="1:4" x14ac:dyDescent="0.3">
      <c r="A400" s="25">
        <v>46013</v>
      </c>
      <c r="B400" s="16"/>
      <c r="C400" s="16">
        <v>44632</v>
      </c>
      <c r="D400" s="16">
        <v>44632</v>
      </c>
    </row>
    <row r="401" spans="1:4" x14ac:dyDescent="0.3">
      <c r="A401" s="19" t="s">
        <v>188</v>
      </c>
      <c r="B401" s="16"/>
      <c r="C401" s="16">
        <v>44632</v>
      </c>
      <c r="D401" s="16">
        <v>44632</v>
      </c>
    </row>
    <row r="402" spans="1:4" x14ac:dyDescent="0.3">
      <c r="A402" s="24" t="s">
        <v>176</v>
      </c>
      <c r="B402" s="16"/>
      <c r="C402" s="16">
        <v>44632</v>
      </c>
      <c r="D402" s="16">
        <v>44632</v>
      </c>
    </row>
    <row r="403" spans="1:4" x14ac:dyDescent="0.3">
      <c r="A403" s="17" t="s">
        <v>140</v>
      </c>
      <c r="B403" s="16">
        <v>36299</v>
      </c>
      <c r="C403" s="16">
        <v>36299</v>
      </c>
      <c r="D403" s="16">
        <v>72598</v>
      </c>
    </row>
    <row r="404" spans="1:4" x14ac:dyDescent="0.3">
      <c r="A404" s="18" t="s">
        <v>56</v>
      </c>
      <c r="B404" s="16">
        <v>36299</v>
      </c>
      <c r="C404" s="16"/>
      <c r="D404" s="16">
        <v>36299</v>
      </c>
    </row>
    <row r="405" spans="1:4" x14ac:dyDescent="0.3">
      <c r="A405" s="19" t="s">
        <v>141</v>
      </c>
      <c r="B405" s="16">
        <v>36299</v>
      </c>
      <c r="C405" s="16"/>
      <c r="D405" s="16">
        <v>36299</v>
      </c>
    </row>
    <row r="406" spans="1:4" x14ac:dyDescent="0.3">
      <c r="A406" s="24" t="s">
        <v>142</v>
      </c>
      <c r="B406" s="16">
        <v>36299</v>
      </c>
      <c r="C406" s="16"/>
      <c r="D406" s="16">
        <v>36299</v>
      </c>
    </row>
    <row r="407" spans="1:4" x14ac:dyDescent="0.3">
      <c r="A407" s="25">
        <v>46010</v>
      </c>
      <c r="B407" s="16"/>
      <c r="C407" s="16">
        <v>36299</v>
      </c>
      <c r="D407" s="16">
        <v>36299</v>
      </c>
    </row>
    <row r="408" spans="1:4" x14ac:dyDescent="0.3">
      <c r="A408" s="19" t="s">
        <v>141</v>
      </c>
      <c r="B408" s="16"/>
      <c r="C408" s="16">
        <v>36299</v>
      </c>
      <c r="D408" s="16">
        <v>36299</v>
      </c>
    </row>
    <row r="409" spans="1:4" x14ac:dyDescent="0.3">
      <c r="A409" s="24" t="s">
        <v>142</v>
      </c>
      <c r="B409" s="16"/>
      <c r="C409" s="16">
        <v>36299</v>
      </c>
      <c r="D409" s="16">
        <v>36299</v>
      </c>
    </row>
    <row r="410" spans="1:4" x14ac:dyDescent="0.3">
      <c r="A410" s="17" t="s">
        <v>137</v>
      </c>
      <c r="B410" s="16">
        <v>27056</v>
      </c>
      <c r="C410" s="16">
        <v>27056</v>
      </c>
      <c r="D410" s="16">
        <v>54112</v>
      </c>
    </row>
    <row r="411" spans="1:4" x14ac:dyDescent="0.3">
      <c r="A411" s="18" t="s">
        <v>56</v>
      </c>
      <c r="B411" s="16">
        <v>27056</v>
      </c>
      <c r="C411" s="16"/>
      <c r="D411" s="16">
        <v>27056</v>
      </c>
    </row>
    <row r="412" spans="1:4" x14ac:dyDescent="0.3">
      <c r="A412" s="19" t="s">
        <v>138</v>
      </c>
      <c r="B412" s="16">
        <v>27056</v>
      </c>
      <c r="C412" s="16"/>
      <c r="D412" s="16">
        <v>27056</v>
      </c>
    </row>
    <row r="413" spans="1:4" x14ac:dyDescent="0.3">
      <c r="A413" s="24" t="s">
        <v>139</v>
      </c>
      <c r="B413" s="16">
        <v>27056</v>
      </c>
      <c r="C413" s="16"/>
      <c r="D413" s="16">
        <v>27056</v>
      </c>
    </row>
    <row r="414" spans="1:4" x14ac:dyDescent="0.3">
      <c r="A414" s="25">
        <v>46010</v>
      </c>
      <c r="B414" s="16"/>
      <c r="C414" s="16">
        <v>27056</v>
      </c>
      <c r="D414" s="16">
        <v>27056</v>
      </c>
    </row>
    <row r="415" spans="1:4" x14ac:dyDescent="0.3">
      <c r="A415" s="19" t="s">
        <v>208</v>
      </c>
      <c r="B415" s="16"/>
      <c r="C415" s="16">
        <v>27056</v>
      </c>
      <c r="D415" s="16">
        <v>27056</v>
      </c>
    </row>
    <row r="416" spans="1:4" x14ac:dyDescent="0.3">
      <c r="A416" s="24" t="s">
        <v>139</v>
      </c>
      <c r="B416" s="16"/>
      <c r="C416" s="16">
        <v>27056</v>
      </c>
      <c r="D416" s="16">
        <v>27056</v>
      </c>
    </row>
    <row r="417" spans="1:4" x14ac:dyDescent="0.3">
      <c r="A417" s="17" t="s">
        <v>184</v>
      </c>
      <c r="B417" s="16">
        <v>8280.02</v>
      </c>
      <c r="C417" s="16">
        <v>8280</v>
      </c>
      <c r="D417" s="16">
        <v>16560.02</v>
      </c>
    </row>
    <row r="418" spans="1:4" x14ac:dyDescent="0.3">
      <c r="A418" s="18" t="s">
        <v>53</v>
      </c>
      <c r="B418" s="16">
        <v>8280.02</v>
      </c>
      <c r="C418" s="16"/>
      <c r="D418" s="16">
        <v>8280.02</v>
      </c>
    </row>
    <row r="419" spans="1:4" x14ac:dyDescent="0.3">
      <c r="A419" s="19" t="s">
        <v>185</v>
      </c>
      <c r="B419" s="16">
        <v>8280.02</v>
      </c>
      <c r="C419" s="16"/>
      <c r="D419" s="16">
        <v>8280.02</v>
      </c>
    </row>
    <row r="420" spans="1:4" x14ac:dyDescent="0.3">
      <c r="A420" s="24" t="s">
        <v>186</v>
      </c>
      <c r="B420" s="16">
        <v>8280.02</v>
      </c>
      <c r="C420" s="16"/>
      <c r="D420" s="16">
        <v>8280.02</v>
      </c>
    </row>
    <row r="421" spans="1:4" x14ac:dyDescent="0.3">
      <c r="A421" s="25">
        <v>46009</v>
      </c>
      <c r="B421" s="16"/>
      <c r="C421" s="16">
        <v>8280</v>
      </c>
      <c r="D421" s="16">
        <v>8280</v>
      </c>
    </row>
    <row r="422" spans="1:4" x14ac:dyDescent="0.3">
      <c r="A422" s="19" t="s">
        <v>206</v>
      </c>
      <c r="B422" s="16"/>
      <c r="C422" s="16">
        <v>8280</v>
      </c>
      <c r="D422" s="16">
        <v>8280</v>
      </c>
    </row>
    <row r="423" spans="1:4" x14ac:dyDescent="0.3">
      <c r="A423" s="24" t="s">
        <v>186</v>
      </c>
      <c r="B423" s="16"/>
      <c r="C423" s="16">
        <v>8280</v>
      </c>
      <c r="D423" s="16">
        <v>8280</v>
      </c>
    </row>
    <row r="424" spans="1:4" x14ac:dyDescent="0.3">
      <c r="A424" s="17" t="s">
        <v>134</v>
      </c>
      <c r="B424" s="16">
        <v>14308</v>
      </c>
      <c r="C424" s="16">
        <v>14308</v>
      </c>
      <c r="D424" s="16">
        <v>28616</v>
      </c>
    </row>
    <row r="425" spans="1:4" x14ac:dyDescent="0.3">
      <c r="A425" s="18" t="s">
        <v>16</v>
      </c>
      <c r="B425" s="16">
        <v>14308</v>
      </c>
      <c r="C425" s="16"/>
      <c r="D425" s="16">
        <v>14308</v>
      </c>
    </row>
    <row r="426" spans="1:4" x14ac:dyDescent="0.3">
      <c r="A426" s="19" t="s">
        <v>135</v>
      </c>
      <c r="B426" s="16">
        <v>14308</v>
      </c>
      <c r="C426" s="16"/>
      <c r="D426" s="16">
        <v>14308</v>
      </c>
    </row>
    <row r="427" spans="1:4" x14ac:dyDescent="0.3">
      <c r="A427" s="24" t="s">
        <v>136</v>
      </c>
      <c r="B427" s="16">
        <v>14308</v>
      </c>
      <c r="C427" s="16"/>
      <c r="D427" s="16">
        <v>14308</v>
      </c>
    </row>
    <row r="428" spans="1:4" x14ac:dyDescent="0.3">
      <c r="A428" s="25">
        <v>46017</v>
      </c>
      <c r="B428" s="16"/>
      <c r="C428" s="16">
        <v>14308</v>
      </c>
      <c r="D428" s="16">
        <v>14308</v>
      </c>
    </row>
    <row r="429" spans="1:4" x14ac:dyDescent="0.3">
      <c r="A429" s="19" t="s">
        <v>212</v>
      </c>
      <c r="B429" s="16"/>
      <c r="C429" s="16">
        <v>14308</v>
      </c>
      <c r="D429" s="16">
        <v>14308</v>
      </c>
    </row>
    <row r="430" spans="1:4" x14ac:dyDescent="0.3">
      <c r="A430" s="24" t="s">
        <v>213</v>
      </c>
      <c r="B430" s="16"/>
      <c r="C430" s="16">
        <v>14308</v>
      </c>
      <c r="D430" s="16">
        <v>14308</v>
      </c>
    </row>
    <row r="431" spans="1:4" x14ac:dyDescent="0.3">
      <c r="A431" s="17" t="s">
        <v>81</v>
      </c>
      <c r="B431" s="16">
        <v>5942</v>
      </c>
      <c r="C431" s="16">
        <v>5942</v>
      </c>
      <c r="D431" s="16">
        <v>11884</v>
      </c>
    </row>
    <row r="432" spans="1:4" x14ac:dyDescent="0.3">
      <c r="A432" s="18" t="s">
        <v>16</v>
      </c>
      <c r="B432" s="16">
        <v>5942</v>
      </c>
      <c r="C432" s="16"/>
      <c r="D432" s="16">
        <v>5942</v>
      </c>
    </row>
    <row r="433" spans="1:4" x14ac:dyDescent="0.3">
      <c r="A433" s="19" t="s">
        <v>82</v>
      </c>
      <c r="B433" s="16">
        <v>5942</v>
      </c>
      <c r="C433" s="16"/>
      <c r="D433" s="16">
        <v>5942</v>
      </c>
    </row>
    <row r="434" spans="1:4" x14ac:dyDescent="0.3">
      <c r="A434" s="24" t="s">
        <v>83</v>
      </c>
      <c r="B434" s="16">
        <v>5942</v>
      </c>
      <c r="C434" s="16"/>
      <c r="D434" s="16">
        <v>5942</v>
      </c>
    </row>
    <row r="435" spans="1:4" x14ac:dyDescent="0.3">
      <c r="A435" s="25">
        <v>46017</v>
      </c>
      <c r="B435" s="16"/>
      <c r="C435" s="16">
        <v>5942</v>
      </c>
      <c r="D435" s="16">
        <v>5942</v>
      </c>
    </row>
    <row r="436" spans="1:4" x14ac:dyDescent="0.3">
      <c r="A436" s="19" t="s">
        <v>82</v>
      </c>
      <c r="B436" s="16"/>
      <c r="C436" s="16">
        <v>5942</v>
      </c>
      <c r="D436" s="16">
        <v>5942</v>
      </c>
    </row>
    <row r="437" spans="1:4" x14ac:dyDescent="0.3">
      <c r="A437" s="24" t="s">
        <v>83</v>
      </c>
      <c r="B437" s="16"/>
      <c r="C437" s="16">
        <v>5942</v>
      </c>
      <c r="D437" s="16">
        <v>5942</v>
      </c>
    </row>
    <row r="438" spans="1:4" x14ac:dyDescent="0.3">
      <c r="A438" s="17" t="s">
        <v>109</v>
      </c>
      <c r="B438" s="16">
        <v>5880</v>
      </c>
      <c r="C438" s="16">
        <v>5880</v>
      </c>
      <c r="D438" s="16">
        <v>11760</v>
      </c>
    </row>
    <row r="439" spans="1:4" x14ac:dyDescent="0.3">
      <c r="A439" s="18" t="s">
        <v>48</v>
      </c>
      <c r="B439" s="16">
        <v>5880</v>
      </c>
      <c r="C439" s="16"/>
      <c r="D439" s="16">
        <v>5880</v>
      </c>
    </row>
    <row r="440" spans="1:4" x14ac:dyDescent="0.3">
      <c r="A440" s="19" t="s">
        <v>110</v>
      </c>
      <c r="B440" s="16">
        <v>5880</v>
      </c>
      <c r="C440" s="16"/>
      <c r="D440" s="16">
        <v>5880</v>
      </c>
    </row>
    <row r="441" spans="1:4" x14ac:dyDescent="0.3">
      <c r="A441" s="24" t="s">
        <v>111</v>
      </c>
      <c r="B441" s="16">
        <v>5880</v>
      </c>
      <c r="C441" s="16"/>
      <c r="D441" s="16">
        <v>5880</v>
      </c>
    </row>
    <row r="442" spans="1:4" x14ac:dyDescent="0.3">
      <c r="A442" s="25">
        <v>46003</v>
      </c>
      <c r="B442" s="16"/>
      <c r="C442" s="16">
        <v>5880</v>
      </c>
      <c r="D442" s="16">
        <v>5880</v>
      </c>
    </row>
    <row r="443" spans="1:4" x14ac:dyDescent="0.3">
      <c r="A443" s="19" t="s">
        <v>199</v>
      </c>
      <c r="B443" s="16"/>
      <c r="C443" s="16">
        <v>5880</v>
      </c>
      <c r="D443" s="16">
        <v>5880</v>
      </c>
    </row>
    <row r="444" spans="1:4" x14ac:dyDescent="0.3">
      <c r="A444" s="24" t="s">
        <v>111</v>
      </c>
      <c r="B444" s="16"/>
      <c r="C444" s="16">
        <v>5880</v>
      </c>
      <c r="D444" s="16">
        <v>5880</v>
      </c>
    </row>
    <row r="445" spans="1:4" x14ac:dyDescent="0.3">
      <c r="A445" s="17" t="s">
        <v>126</v>
      </c>
      <c r="B445" s="16">
        <v>48207</v>
      </c>
      <c r="C445" s="16">
        <v>48207</v>
      </c>
      <c r="D445" s="16">
        <v>96414</v>
      </c>
    </row>
    <row r="446" spans="1:4" x14ac:dyDescent="0.3">
      <c r="A446" s="18" t="s">
        <v>129</v>
      </c>
      <c r="B446" s="16">
        <v>48207</v>
      </c>
      <c r="C446" s="16"/>
      <c r="D446" s="16">
        <v>48207</v>
      </c>
    </row>
    <row r="447" spans="1:4" x14ac:dyDescent="0.3">
      <c r="A447" s="19" t="s">
        <v>127</v>
      </c>
      <c r="B447" s="16">
        <v>48207</v>
      </c>
      <c r="C447" s="16"/>
      <c r="D447" s="16">
        <v>48207</v>
      </c>
    </row>
    <row r="448" spans="1:4" x14ac:dyDescent="0.3">
      <c r="A448" s="24" t="s">
        <v>128</v>
      </c>
      <c r="B448" s="16">
        <v>48207</v>
      </c>
      <c r="C448" s="16"/>
      <c r="D448" s="16">
        <v>48207</v>
      </c>
    </row>
    <row r="449" spans="1:4" x14ac:dyDescent="0.3">
      <c r="A449" s="25">
        <v>45993</v>
      </c>
      <c r="B449" s="16"/>
      <c r="C449" s="16">
        <v>48207</v>
      </c>
      <c r="D449" s="16">
        <v>48207</v>
      </c>
    </row>
    <row r="450" spans="1:4" x14ac:dyDescent="0.3">
      <c r="A450" s="19" t="s">
        <v>189</v>
      </c>
      <c r="B450" s="16"/>
      <c r="C450" s="16">
        <v>48207</v>
      </c>
      <c r="D450" s="16">
        <v>48207</v>
      </c>
    </row>
    <row r="451" spans="1:4" x14ac:dyDescent="0.3">
      <c r="A451" s="24" t="s">
        <v>128</v>
      </c>
      <c r="B451" s="16"/>
      <c r="C451" s="16">
        <v>48207</v>
      </c>
      <c r="D451" s="16">
        <v>48207</v>
      </c>
    </row>
    <row r="452" spans="1:4" x14ac:dyDescent="0.3">
      <c r="A452" s="17" t="s">
        <v>193</v>
      </c>
      <c r="B452" s="16"/>
      <c r="C452" s="16">
        <v>58784</v>
      </c>
      <c r="D452" s="16">
        <v>58784</v>
      </c>
    </row>
    <row r="453" spans="1:4" x14ac:dyDescent="0.3">
      <c r="A453" s="25">
        <v>45997</v>
      </c>
      <c r="B453" s="16"/>
      <c r="C453" s="16">
        <v>58784</v>
      </c>
      <c r="D453" s="16">
        <v>58784</v>
      </c>
    </row>
    <row r="454" spans="1:4" x14ac:dyDescent="0.3">
      <c r="A454" s="19" t="s">
        <v>75</v>
      </c>
      <c r="B454" s="16"/>
      <c r="C454" s="16">
        <v>58784</v>
      </c>
      <c r="D454" s="16">
        <v>58784</v>
      </c>
    </row>
    <row r="455" spans="1:4" x14ac:dyDescent="0.3">
      <c r="A455" s="24" t="s">
        <v>76</v>
      </c>
      <c r="B455" s="16"/>
      <c r="C455" s="16">
        <v>58784</v>
      </c>
      <c r="D455" s="16">
        <v>58784</v>
      </c>
    </row>
    <row r="456" spans="1:4" x14ac:dyDescent="0.3">
      <c r="A456" s="17" t="s">
        <v>222</v>
      </c>
      <c r="B456" s="16">
        <v>2282872.12</v>
      </c>
      <c r="C456" s="16">
        <v>1754968.74</v>
      </c>
      <c r="D456" s="16">
        <v>4037840.86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2ADA-E6C9-47CF-8F42-4564ADC4B373}">
  <dimension ref="A1:J145"/>
  <sheetViews>
    <sheetView workbookViewId="0">
      <selection activeCell="D83" sqref="A1:G145"/>
    </sheetView>
  </sheetViews>
  <sheetFormatPr defaultRowHeight="14.4" x14ac:dyDescent="0.3"/>
  <cols>
    <col min="1" max="1" width="18.88671875" customWidth="1"/>
    <col min="2" max="2" width="27.88671875" customWidth="1"/>
    <col min="3" max="3" width="19.33203125" customWidth="1"/>
    <col min="4" max="4" width="17.21875" customWidth="1"/>
    <col min="5" max="5" width="14.33203125" customWidth="1"/>
    <col min="6" max="6" width="16.88671875" customWidth="1"/>
  </cols>
  <sheetData>
    <row r="1" spans="1:10" ht="39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187</v>
      </c>
      <c r="G1" s="2" t="s">
        <v>223</v>
      </c>
    </row>
    <row r="2" spans="1:10" x14ac:dyDescent="0.3">
      <c r="A2" s="3" t="s">
        <v>5</v>
      </c>
      <c r="B2" s="3" t="s">
        <v>6</v>
      </c>
      <c r="C2" s="3" t="s">
        <v>7</v>
      </c>
      <c r="D2" s="20" t="s">
        <v>8</v>
      </c>
      <c r="E2" s="4">
        <v>26911</v>
      </c>
      <c r="F2" s="4">
        <v>31755</v>
      </c>
      <c r="G2" s="3" t="s">
        <v>224</v>
      </c>
    </row>
    <row r="3" spans="1:10" x14ac:dyDescent="0.3">
      <c r="A3" s="3" t="s">
        <v>5</v>
      </c>
      <c r="B3" s="3" t="s">
        <v>6</v>
      </c>
      <c r="C3" s="3" t="s">
        <v>9</v>
      </c>
      <c r="D3" s="20" t="s">
        <v>10</v>
      </c>
      <c r="E3" s="4">
        <v>5101.6000000000004</v>
      </c>
      <c r="F3" s="4">
        <v>6020</v>
      </c>
      <c r="G3" s="3" t="s">
        <v>224</v>
      </c>
    </row>
    <row r="4" spans="1:10" x14ac:dyDescent="0.3">
      <c r="A4" s="3" t="s">
        <v>5</v>
      </c>
      <c r="B4" s="3" t="s">
        <v>6</v>
      </c>
      <c r="C4" s="3" t="s">
        <v>11</v>
      </c>
      <c r="D4" s="20" t="s">
        <v>12</v>
      </c>
      <c r="E4" s="4">
        <v>30523.4</v>
      </c>
      <c r="F4" s="4">
        <v>36018</v>
      </c>
      <c r="G4" s="3" t="s">
        <v>224</v>
      </c>
    </row>
    <row r="5" spans="1:10" x14ac:dyDescent="0.3">
      <c r="A5" s="3" t="s">
        <v>5</v>
      </c>
      <c r="B5" s="3" t="s">
        <v>6</v>
      </c>
      <c r="C5" s="3" t="s">
        <v>13</v>
      </c>
      <c r="D5" s="20" t="s">
        <v>14</v>
      </c>
      <c r="E5" s="4">
        <v>17796</v>
      </c>
      <c r="F5" s="4">
        <v>20999</v>
      </c>
      <c r="G5" s="3" t="s">
        <v>224</v>
      </c>
    </row>
    <row r="6" spans="1:10" x14ac:dyDescent="0.3">
      <c r="A6" s="3" t="s">
        <v>5</v>
      </c>
      <c r="B6" s="3" t="s">
        <v>6</v>
      </c>
      <c r="C6" s="3" t="s">
        <v>15</v>
      </c>
      <c r="D6" s="20" t="s">
        <v>16</v>
      </c>
      <c r="E6" s="4">
        <v>3805.1</v>
      </c>
      <c r="F6" s="4">
        <v>4490</v>
      </c>
      <c r="G6" s="3" t="s">
        <v>224</v>
      </c>
    </row>
    <row r="7" spans="1:10" x14ac:dyDescent="0.3">
      <c r="A7" s="3" t="s">
        <v>5</v>
      </c>
      <c r="B7" s="3" t="s">
        <v>6</v>
      </c>
      <c r="C7" s="3" t="s">
        <v>17</v>
      </c>
      <c r="D7" s="20" t="s">
        <v>18</v>
      </c>
      <c r="E7" s="4">
        <v>40673.800000000003</v>
      </c>
      <c r="F7" s="4">
        <v>47995</v>
      </c>
      <c r="G7" s="3" t="s">
        <v>224</v>
      </c>
    </row>
    <row r="8" spans="1:10" x14ac:dyDescent="0.3">
      <c r="A8" s="3" t="s">
        <v>19</v>
      </c>
      <c r="B8" s="3" t="s">
        <v>20</v>
      </c>
      <c r="C8" s="3" t="s">
        <v>21</v>
      </c>
      <c r="D8" s="20" t="s">
        <v>22</v>
      </c>
      <c r="E8" s="4">
        <v>3388.8</v>
      </c>
      <c r="F8" s="4">
        <v>3999</v>
      </c>
      <c r="G8" s="3" t="s">
        <v>224</v>
      </c>
      <c r="J8" s="21" t="s">
        <v>14</v>
      </c>
    </row>
    <row r="9" spans="1:10" x14ac:dyDescent="0.3">
      <c r="A9" s="3" t="s">
        <v>19</v>
      </c>
      <c r="B9" s="3" t="s">
        <v>20</v>
      </c>
      <c r="C9" s="3" t="s">
        <v>23</v>
      </c>
      <c r="D9" s="20" t="s">
        <v>24</v>
      </c>
      <c r="E9" s="4">
        <v>6777.6</v>
      </c>
      <c r="F9" s="4">
        <v>7998</v>
      </c>
      <c r="G9" s="3" t="s">
        <v>224</v>
      </c>
      <c r="J9" s="21" t="s">
        <v>16</v>
      </c>
    </row>
    <row r="10" spans="1:10" x14ac:dyDescent="0.3">
      <c r="A10" s="3" t="s">
        <v>19</v>
      </c>
      <c r="B10" s="3" t="s">
        <v>20</v>
      </c>
      <c r="C10" s="3" t="s">
        <v>25</v>
      </c>
      <c r="D10" s="20" t="s">
        <v>26</v>
      </c>
      <c r="E10" s="4">
        <v>10166.4</v>
      </c>
      <c r="F10" s="4">
        <v>11996</v>
      </c>
      <c r="G10" s="3" t="s">
        <v>224</v>
      </c>
      <c r="J10" s="21" t="s">
        <v>18</v>
      </c>
    </row>
    <row r="11" spans="1:10" x14ac:dyDescent="0.3">
      <c r="A11" s="3" t="s">
        <v>27</v>
      </c>
      <c r="B11" s="3" t="s">
        <v>28</v>
      </c>
      <c r="C11" s="3" t="s">
        <v>29</v>
      </c>
      <c r="D11" s="20" t="s">
        <v>30</v>
      </c>
      <c r="E11" s="4">
        <v>8262.7199999999993</v>
      </c>
      <c r="F11" s="4">
        <v>9750</v>
      </c>
      <c r="G11" s="3" t="s">
        <v>224</v>
      </c>
      <c r="J11" s="21" t="s">
        <v>22</v>
      </c>
    </row>
    <row r="12" spans="1:10" x14ac:dyDescent="0.3">
      <c r="A12" s="3" t="s">
        <v>31</v>
      </c>
      <c r="B12" s="3" t="s">
        <v>32</v>
      </c>
      <c r="C12" s="3" t="s">
        <v>33</v>
      </c>
      <c r="D12" s="20" t="s">
        <v>34</v>
      </c>
      <c r="E12" s="4">
        <v>112547.5</v>
      </c>
      <c r="F12" s="4">
        <v>132806</v>
      </c>
      <c r="G12" s="3" t="s">
        <v>224</v>
      </c>
      <c r="J12" s="21" t="s">
        <v>24</v>
      </c>
    </row>
    <row r="13" spans="1:10" x14ac:dyDescent="0.3">
      <c r="A13" s="3" t="s">
        <v>35</v>
      </c>
      <c r="B13" s="3" t="s">
        <v>36</v>
      </c>
      <c r="C13" s="3" t="s">
        <v>37</v>
      </c>
      <c r="D13" s="20" t="s">
        <v>38</v>
      </c>
      <c r="E13" s="4">
        <v>3974.5</v>
      </c>
      <c r="F13" s="4">
        <v>4690</v>
      </c>
      <c r="G13" s="3" t="s">
        <v>224</v>
      </c>
    </row>
    <row r="14" spans="1:10" x14ac:dyDescent="0.3">
      <c r="A14" s="3" t="s">
        <v>35</v>
      </c>
      <c r="B14" s="3" t="s">
        <v>36</v>
      </c>
      <c r="C14" s="3" t="s">
        <v>39</v>
      </c>
      <c r="D14" s="20" t="s">
        <v>40</v>
      </c>
      <c r="E14" s="4">
        <v>6610.14</v>
      </c>
      <c r="F14" s="4">
        <v>7800</v>
      </c>
      <c r="G14" s="3" t="s">
        <v>224</v>
      </c>
    </row>
    <row r="15" spans="1:10" x14ac:dyDescent="0.3">
      <c r="A15" s="3" t="s">
        <v>35</v>
      </c>
      <c r="B15" s="3" t="s">
        <v>36</v>
      </c>
      <c r="C15" s="3" t="s">
        <v>41</v>
      </c>
      <c r="D15" s="20" t="s">
        <v>10</v>
      </c>
      <c r="E15" s="4">
        <v>8940.68</v>
      </c>
      <c r="F15" s="4">
        <v>10550</v>
      </c>
      <c r="G15" s="3" t="s">
        <v>224</v>
      </c>
    </row>
    <row r="16" spans="1:10" x14ac:dyDescent="0.3">
      <c r="A16" s="3" t="s">
        <v>35</v>
      </c>
      <c r="B16" s="3" t="s">
        <v>36</v>
      </c>
      <c r="C16" s="3" t="s">
        <v>42</v>
      </c>
      <c r="D16" s="20" t="s">
        <v>10</v>
      </c>
      <c r="E16" s="4">
        <v>8542.35</v>
      </c>
      <c r="F16" s="4">
        <v>10080</v>
      </c>
      <c r="G16" s="3" t="s">
        <v>224</v>
      </c>
    </row>
    <row r="17" spans="1:7" x14ac:dyDescent="0.3">
      <c r="A17" s="3" t="s">
        <v>35</v>
      </c>
      <c r="B17" s="3" t="s">
        <v>36</v>
      </c>
      <c r="C17" s="3" t="s">
        <v>43</v>
      </c>
      <c r="D17" s="20" t="s">
        <v>44</v>
      </c>
      <c r="E17" s="4">
        <v>3878</v>
      </c>
      <c r="F17" s="4">
        <v>4576.04</v>
      </c>
      <c r="G17" s="3" t="s">
        <v>224</v>
      </c>
    </row>
    <row r="18" spans="1:7" x14ac:dyDescent="0.3">
      <c r="A18" s="3" t="s">
        <v>35</v>
      </c>
      <c r="B18" s="3" t="s">
        <v>36</v>
      </c>
      <c r="C18" s="3" t="s">
        <v>45</v>
      </c>
      <c r="D18" s="20" t="s">
        <v>46</v>
      </c>
      <c r="E18" s="4">
        <v>7627.11</v>
      </c>
      <c r="F18" s="4">
        <v>9000</v>
      </c>
      <c r="G18" s="3" t="s">
        <v>224</v>
      </c>
    </row>
    <row r="19" spans="1:7" x14ac:dyDescent="0.3">
      <c r="A19" s="3" t="s">
        <v>35</v>
      </c>
      <c r="B19" s="3" t="s">
        <v>36</v>
      </c>
      <c r="C19" s="3" t="s">
        <v>47</v>
      </c>
      <c r="D19" s="20" t="s">
        <v>48</v>
      </c>
      <c r="E19" s="4">
        <v>17585.580000000002</v>
      </c>
      <c r="F19" s="4">
        <v>20751</v>
      </c>
      <c r="G19" s="3" t="s">
        <v>224</v>
      </c>
    </row>
    <row r="20" spans="1:7" x14ac:dyDescent="0.3">
      <c r="A20" s="3" t="s">
        <v>35</v>
      </c>
      <c r="B20" s="3" t="s">
        <v>36</v>
      </c>
      <c r="C20" s="3" t="s">
        <v>49</v>
      </c>
      <c r="D20" s="20" t="s">
        <v>50</v>
      </c>
      <c r="E20" s="4">
        <v>31763</v>
      </c>
      <c r="F20" s="4">
        <v>37480.339999999997</v>
      </c>
      <c r="G20" s="3" t="s">
        <v>224</v>
      </c>
    </row>
    <row r="21" spans="1:7" x14ac:dyDescent="0.3">
      <c r="A21" s="3" t="s">
        <v>35</v>
      </c>
      <c r="B21" s="3" t="s">
        <v>36</v>
      </c>
      <c r="C21" s="3" t="s">
        <v>51</v>
      </c>
      <c r="D21" s="20" t="s">
        <v>50</v>
      </c>
      <c r="E21" s="4">
        <v>13716.11</v>
      </c>
      <c r="F21" s="4">
        <v>16185.01</v>
      </c>
      <c r="G21" s="3" t="s">
        <v>224</v>
      </c>
    </row>
    <row r="22" spans="1:7" x14ac:dyDescent="0.3">
      <c r="A22" s="3" t="s">
        <v>35</v>
      </c>
      <c r="B22" s="3" t="s">
        <v>36</v>
      </c>
      <c r="C22" s="3" t="s">
        <v>52</v>
      </c>
      <c r="D22" s="20" t="s">
        <v>53</v>
      </c>
      <c r="E22" s="4">
        <v>20212.400000000001</v>
      </c>
      <c r="F22" s="4">
        <v>23851</v>
      </c>
      <c r="G22" s="3" t="s">
        <v>224</v>
      </c>
    </row>
    <row r="23" spans="1:7" x14ac:dyDescent="0.3">
      <c r="A23" s="3" t="s">
        <v>35</v>
      </c>
      <c r="B23" s="3" t="s">
        <v>36</v>
      </c>
      <c r="C23" s="3" t="s">
        <v>54</v>
      </c>
      <c r="D23" s="20" t="s">
        <v>53</v>
      </c>
      <c r="E23" s="4">
        <v>24718.01</v>
      </c>
      <c r="F23" s="4">
        <v>29167.25</v>
      </c>
      <c r="G23" s="3" t="s">
        <v>224</v>
      </c>
    </row>
    <row r="24" spans="1:7" x14ac:dyDescent="0.3">
      <c r="A24" s="3" t="s">
        <v>35</v>
      </c>
      <c r="B24" s="3" t="s">
        <v>36</v>
      </c>
      <c r="C24" s="3" t="s">
        <v>55</v>
      </c>
      <c r="D24" s="20" t="s">
        <v>56</v>
      </c>
      <c r="E24" s="4">
        <v>12547.7</v>
      </c>
      <c r="F24" s="4">
        <v>14806.3</v>
      </c>
      <c r="G24" s="3" t="s">
        <v>224</v>
      </c>
    </row>
    <row r="25" spans="1:7" x14ac:dyDescent="0.3">
      <c r="A25" s="3" t="s">
        <v>35</v>
      </c>
      <c r="B25" s="3" t="s">
        <v>36</v>
      </c>
      <c r="C25" s="3" t="s">
        <v>57</v>
      </c>
      <c r="D25" s="20" t="s">
        <v>58</v>
      </c>
      <c r="E25" s="4">
        <v>4292.8100000000004</v>
      </c>
      <c r="F25" s="4">
        <v>5066</v>
      </c>
      <c r="G25" s="3" t="s">
        <v>224</v>
      </c>
    </row>
    <row r="26" spans="1:7" x14ac:dyDescent="0.3">
      <c r="A26" s="3" t="s">
        <v>35</v>
      </c>
      <c r="B26" s="3" t="s">
        <v>36</v>
      </c>
      <c r="C26" s="3" t="s">
        <v>59</v>
      </c>
      <c r="D26" s="20" t="s">
        <v>14</v>
      </c>
      <c r="E26" s="4">
        <v>27876</v>
      </c>
      <c r="F26" s="4">
        <v>32894</v>
      </c>
      <c r="G26" s="3" t="s">
        <v>224</v>
      </c>
    </row>
    <row r="27" spans="1:7" x14ac:dyDescent="0.3">
      <c r="A27" s="3" t="s">
        <v>35</v>
      </c>
      <c r="B27" s="3" t="s">
        <v>36</v>
      </c>
      <c r="C27" s="3" t="s">
        <v>60</v>
      </c>
      <c r="D27" s="20" t="s">
        <v>14</v>
      </c>
      <c r="E27" s="4">
        <v>20722.2</v>
      </c>
      <c r="F27" s="4">
        <v>24452.26</v>
      </c>
      <c r="G27" s="3" t="s">
        <v>224</v>
      </c>
    </row>
    <row r="28" spans="1:7" x14ac:dyDescent="0.3">
      <c r="A28" s="3" t="s">
        <v>35</v>
      </c>
      <c r="B28" s="3" t="s">
        <v>36</v>
      </c>
      <c r="C28" s="3" t="s">
        <v>61</v>
      </c>
      <c r="D28" s="20" t="s">
        <v>62</v>
      </c>
      <c r="E28" s="4">
        <v>10169.48</v>
      </c>
      <c r="F28" s="4">
        <v>12000</v>
      </c>
      <c r="G28" s="3" t="s">
        <v>224</v>
      </c>
    </row>
    <row r="29" spans="1:7" x14ac:dyDescent="0.3">
      <c r="A29" s="3" t="s">
        <v>35</v>
      </c>
      <c r="B29" s="3" t="s">
        <v>36</v>
      </c>
      <c r="C29" s="3" t="s">
        <v>63</v>
      </c>
      <c r="D29" s="20" t="s">
        <v>64</v>
      </c>
      <c r="E29" s="4">
        <v>5603.07</v>
      </c>
      <c r="F29" s="4">
        <v>6612</v>
      </c>
      <c r="G29" s="3" t="s">
        <v>224</v>
      </c>
    </row>
    <row r="30" spans="1:7" x14ac:dyDescent="0.3">
      <c r="A30" s="3" t="s">
        <v>35</v>
      </c>
      <c r="B30" s="3" t="s">
        <v>36</v>
      </c>
      <c r="C30" s="3" t="s">
        <v>65</v>
      </c>
      <c r="D30" s="20" t="s">
        <v>66</v>
      </c>
      <c r="E30" s="4">
        <v>41501.199999999997</v>
      </c>
      <c r="F30" s="4">
        <v>48971.4</v>
      </c>
      <c r="G30" s="3" t="s">
        <v>224</v>
      </c>
    </row>
    <row r="31" spans="1:7" x14ac:dyDescent="0.3">
      <c r="A31" s="3" t="s">
        <v>35</v>
      </c>
      <c r="B31" s="3" t="s">
        <v>36</v>
      </c>
      <c r="C31" s="3" t="s">
        <v>67</v>
      </c>
      <c r="D31" s="20" t="s">
        <v>66</v>
      </c>
      <c r="E31" s="4">
        <v>5672.69</v>
      </c>
      <c r="F31" s="4">
        <v>6694</v>
      </c>
      <c r="G31" s="3" t="s">
        <v>224</v>
      </c>
    </row>
    <row r="32" spans="1:7" x14ac:dyDescent="0.3">
      <c r="A32" s="3" t="s">
        <v>35</v>
      </c>
      <c r="B32" s="3" t="s">
        <v>36</v>
      </c>
      <c r="C32" s="3" t="s">
        <v>68</v>
      </c>
      <c r="D32" s="20" t="s">
        <v>18</v>
      </c>
      <c r="E32" s="4">
        <v>32604.799999999999</v>
      </c>
      <c r="F32" s="4">
        <v>38474</v>
      </c>
      <c r="G32" s="3" t="s">
        <v>224</v>
      </c>
    </row>
    <row r="33" spans="1:7" x14ac:dyDescent="0.3">
      <c r="A33" s="3" t="s">
        <v>35</v>
      </c>
      <c r="B33" s="3" t="s">
        <v>36</v>
      </c>
      <c r="C33" s="3" t="s">
        <v>69</v>
      </c>
      <c r="D33" s="20" t="s">
        <v>18</v>
      </c>
      <c r="E33" s="4">
        <v>7821.8</v>
      </c>
      <c r="F33" s="4">
        <v>9230</v>
      </c>
      <c r="G33" s="3" t="s">
        <v>224</v>
      </c>
    </row>
    <row r="34" spans="1:7" x14ac:dyDescent="0.3">
      <c r="A34" s="3" t="s">
        <v>35</v>
      </c>
      <c r="B34" s="3" t="s">
        <v>36</v>
      </c>
      <c r="C34" s="3" t="s">
        <v>70</v>
      </c>
      <c r="D34" s="20" t="s">
        <v>16</v>
      </c>
      <c r="E34" s="4">
        <v>14932.2</v>
      </c>
      <c r="F34" s="4">
        <v>17620</v>
      </c>
      <c r="G34" s="3" t="s">
        <v>224</v>
      </c>
    </row>
    <row r="35" spans="1:7" x14ac:dyDescent="0.3">
      <c r="A35" s="3" t="s">
        <v>71</v>
      </c>
      <c r="B35" s="3" t="s">
        <v>72</v>
      </c>
      <c r="C35" s="3" t="s">
        <v>73</v>
      </c>
      <c r="D35" s="20" t="s">
        <v>64</v>
      </c>
      <c r="E35" s="4">
        <v>37169.440000000002</v>
      </c>
      <c r="F35" s="4">
        <v>43860</v>
      </c>
      <c r="G35" s="3" t="s">
        <v>224</v>
      </c>
    </row>
    <row r="36" spans="1:7" x14ac:dyDescent="0.3">
      <c r="A36" s="3" t="s">
        <v>74</v>
      </c>
      <c r="B36" s="3" t="s">
        <v>75</v>
      </c>
      <c r="C36" s="3" t="s">
        <v>76</v>
      </c>
      <c r="D36" s="20" t="s">
        <v>77</v>
      </c>
      <c r="E36" s="4">
        <v>49817.14</v>
      </c>
      <c r="F36" s="4">
        <v>58784</v>
      </c>
      <c r="G36" s="3" t="s">
        <v>224</v>
      </c>
    </row>
    <row r="37" spans="1:7" x14ac:dyDescent="0.3">
      <c r="A37" s="3" t="s">
        <v>78</v>
      </c>
      <c r="B37" s="3" t="s">
        <v>79</v>
      </c>
      <c r="C37" s="3" t="s">
        <v>80</v>
      </c>
      <c r="D37" s="20" t="s">
        <v>18</v>
      </c>
      <c r="E37" s="4">
        <v>99725.2</v>
      </c>
      <c r="F37" s="4">
        <v>117675.74</v>
      </c>
      <c r="G37" s="3" t="s">
        <v>224</v>
      </c>
    </row>
    <row r="38" spans="1:7" x14ac:dyDescent="0.3">
      <c r="A38" s="3" t="s">
        <v>81</v>
      </c>
      <c r="B38" s="3" t="s">
        <v>82</v>
      </c>
      <c r="C38" s="3" t="s">
        <v>83</v>
      </c>
      <c r="D38" s="20" t="s">
        <v>16</v>
      </c>
      <c r="E38" s="4">
        <v>5035.2</v>
      </c>
      <c r="F38" s="4">
        <v>5942</v>
      </c>
      <c r="G38" s="3" t="s">
        <v>224</v>
      </c>
    </row>
    <row r="39" spans="1:7" x14ac:dyDescent="0.3">
      <c r="A39" s="3" t="s">
        <v>84</v>
      </c>
      <c r="B39" s="3" t="s">
        <v>85</v>
      </c>
      <c r="C39" s="3" t="s">
        <v>86</v>
      </c>
      <c r="D39" s="20" t="s">
        <v>46</v>
      </c>
      <c r="E39" s="4">
        <v>68813.399999999994</v>
      </c>
      <c r="F39" s="4">
        <v>81200</v>
      </c>
      <c r="G39" s="3" t="s">
        <v>224</v>
      </c>
    </row>
    <row r="40" spans="1:7" x14ac:dyDescent="0.3">
      <c r="A40" s="3" t="s">
        <v>84</v>
      </c>
      <c r="B40" s="3" t="s">
        <v>85</v>
      </c>
      <c r="C40" s="3" t="s">
        <v>87</v>
      </c>
      <c r="D40" s="20" t="s">
        <v>48</v>
      </c>
      <c r="E40" s="4">
        <v>59531.6</v>
      </c>
      <c r="F40" s="4">
        <v>70247</v>
      </c>
      <c r="G40" s="3" t="s">
        <v>224</v>
      </c>
    </row>
    <row r="41" spans="1:7" x14ac:dyDescent="0.3">
      <c r="A41" s="3" t="s">
        <v>84</v>
      </c>
      <c r="B41" s="3" t="s">
        <v>85</v>
      </c>
      <c r="C41" s="3" t="s">
        <v>88</v>
      </c>
      <c r="D41" s="20" t="s">
        <v>89</v>
      </c>
      <c r="E41" s="4">
        <v>39406.800000000003</v>
      </c>
      <c r="F41" s="4">
        <v>46500</v>
      </c>
      <c r="G41" s="3" t="s">
        <v>224</v>
      </c>
    </row>
    <row r="42" spans="1:7" x14ac:dyDescent="0.3">
      <c r="A42" s="3" t="s">
        <v>90</v>
      </c>
      <c r="B42" s="3" t="s">
        <v>91</v>
      </c>
      <c r="C42" s="3" t="s">
        <v>92</v>
      </c>
      <c r="D42" s="20" t="s">
        <v>77</v>
      </c>
      <c r="E42" s="4">
        <v>13050.85</v>
      </c>
      <c r="F42" s="4">
        <v>15400</v>
      </c>
      <c r="G42" s="3" t="s">
        <v>224</v>
      </c>
    </row>
    <row r="43" spans="1:7" x14ac:dyDescent="0.3">
      <c r="A43" s="3" t="s">
        <v>90</v>
      </c>
      <c r="B43" s="3" t="s">
        <v>91</v>
      </c>
      <c r="C43" s="3" t="s">
        <v>93</v>
      </c>
      <c r="D43" s="20" t="s">
        <v>48</v>
      </c>
      <c r="E43" s="4">
        <v>16779.66</v>
      </c>
      <c r="F43" s="4">
        <v>19800</v>
      </c>
      <c r="G43" s="3" t="s">
        <v>224</v>
      </c>
    </row>
    <row r="44" spans="1:7" x14ac:dyDescent="0.3">
      <c r="A44" s="3" t="s">
        <v>90</v>
      </c>
      <c r="B44" s="3" t="s">
        <v>91</v>
      </c>
      <c r="C44" s="3" t="s">
        <v>94</v>
      </c>
      <c r="D44" s="20" t="s">
        <v>95</v>
      </c>
      <c r="E44" s="4">
        <v>3728.8</v>
      </c>
      <c r="F44" s="4">
        <v>4400</v>
      </c>
      <c r="G44" s="3" t="s">
        <v>224</v>
      </c>
    </row>
    <row r="45" spans="1:7" x14ac:dyDescent="0.3">
      <c r="A45" s="3" t="s">
        <v>96</v>
      </c>
      <c r="B45" s="3" t="s">
        <v>97</v>
      </c>
      <c r="C45" s="3" t="s">
        <v>98</v>
      </c>
      <c r="D45" s="20" t="s">
        <v>99</v>
      </c>
      <c r="E45" s="4">
        <v>10508.48</v>
      </c>
      <c r="F45" s="4">
        <v>12400</v>
      </c>
      <c r="G45" s="3" t="s">
        <v>224</v>
      </c>
    </row>
    <row r="46" spans="1:7" x14ac:dyDescent="0.3">
      <c r="A46" s="3" t="s">
        <v>100</v>
      </c>
      <c r="B46" s="3" t="s">
        <v>101</v>
      </c>
      <c r="C46" s="3" t="s">
        <v>102</v>
      </c>
      <c r="D46" s="20" t="s">
        <v>64</v>
      </c>
      <c r="E46" s="4">
        <v>7860</v>
      </c>
      <c r="F46" s="4">
        <v>9275</v>
      </c>
      <c r="G46" s="3" t="s">
        <v>224</v>
      </c>
    </row>
    <row r="47" spans="1:7" x14ac:dyDescent="0.3">
      <c r="A47" s="3" t="s">
        <v>103</v>
      </c>
      <c r="B47" s="3" t="s">
        <v>104</v>
      </c>
      <c r="C47" s="3" t="s">
        <v>105</v>
      </c>
      <c r="D47" s="20" t="s">
        <v>50</v>
      </c>
      <c r="E47" s="4">
        <v>5168.8999999999996</v>
      </c>
      <c r="F47" s="4">
        <v>6099</v>
      </c>
      <c r="G47" s="3" t="s">
        <v>224</v>
      </c>
    </row>
    <row r="48" spans="1:7" x14ac:dyDescent="0.3">
      <c r="A48" s="3" t="s">
        <v>106</v>
      </c>
      <c r="B48" s="3" t="s">
        <v>107</v>
      </c>
      <c r="C48" s="3" t="s">
        <v>108</v>
      </c>
      <c r="D48" s="20" t="s">
        <v>44</v>
      </c>
      <c r="E48" s="4">
        <v>4449</v>
      </c>
      <c r="F48" s="4">
        <v>5250</v>
      </c>
      <c r="G48" s="3" t="s">
        <v>224</v>
      </c>
    </row>
    <row r="49" spans="1:7" x14ac:dyDescent="0.3">
      <c r="A49" s="3" t="s">
        <v>109</v>
      </c>
      <c r="B49" s="3" t="s">
        <v>110</v>
      </c>
      <c r="C49" s="3" t="s">
        <v>111</v>
      </c>
      <c r="D49" s="20" t="s">
        <v>48</v>
      </c>
      <c r="E49" s="4">
        <v>4983</v>
      </c>
      <c r="F49" s="4">
        <v>5880</v>
      </c>
      <c r="G49" s="3" t="s">
        <v>224</v>
      </c>
    </row>
    <row r="50" spans="1:7" x14ac:dyDescent="0.3">
      <c r="A50" s="3" t="s">
        <v>112</v>
      </c>
      <c r="B50" s="3" t="s">
        <v>113</v>
      </c>
      <c r="C50" s="3" t="s">
        <v>114</v>
      </c>
      <c r="D50" s="20" t="s">
        <v>50</v>
      </c>
      <c r="E50" s="4">
        <v>59598.3</v>
      </c>
      <c r="F50" s="4">
        <v>70326</v>
      </c>
      <c r="G50" s="3" t="s">
        <v>224</v>
      </c>
    </row>
    <row r="51" spans="1:7" x14ac:dyDescent="0.3">
      <c r="A51" s="3" t="s">
        <v>112</v>
      </c>
      <c r="B51" s="3" t="s">
        <v>113</v>
      </c>
      <c r="C51" s="3" t="s">
        <v>115</v>
      </c>
      <c r="D51" s="20" t="s">
        <v>16</v>
      </c>
      <c r="E51" s="4">
        <v>31044.9</v>
      </c>
      <c r="F51" s="4">
        <v>36633</v>
      </c>
      <c r="G51" s="3" t="s">
        <v>224</v>
      </c>
    </row>
    <row r="52" spans="1:7" x14ac:dyDescent="0.3">
      <c r="A52" s="3" t="s">
        <v>116</v>
      </c>
      <c r="B52" s="3" t="s">
        <v>117</v>
      </c>
      <c r="C52" s="3" t="s">
        <v>118</v>
      </c>
      <c r="D52" s="20" t="s">
        <v>119</v>
      </c>
      <c r="E52" s="4">
        <v>30550.92</v>
      </c>
      <c r="F52" s="4">
        <v>36050</v>
      </c>
      <c r="G52" s="3" t="s">
        <v>224</v>
      </c>
    </row>
    <row r="53" spans="1:7" x14ac:dyDescent="0.3">
      <c r="A53" s="3" t="s">
        <v>116</v>
      </c>
      <c r="B53" s="3" t="s">
        <v>117</v>
      </c>
      <c r="C53" s="3" t="s">
        <v>120</v>
      </c>
      <c r="D53" s="20" t="s">
        <v>121</v>
      </c>
      <c r="E53" s="4">
        <v>5694.96</v>
      </c>
      <c r="F53" s="4">
        <v>6720</v>
      </c>
      <c r="G53" s="3" t="s">
        <v>224</v>
      </c>
    </row>
    <row r="54" spans="1:7" x14ac:dyDescent="0.3">
      <c r="A54" s="3" t="s">
        <v>116</v>
      </c>
      <c r="B54" s="3" t="s">
        <v>117</v>
      </c>
      <c r="C54" s="3" t="s">
        <v>122</v>
      </c>
      <c r="D54" s="20" t="s">
        <v>18</v>
      </c>
      <c r="E54" s="4">
        <v>4000</v>
      </c>
      <c r="F54" s="4">
        <v>4720</v>
      </c>
      <c r="G54" s="3" t="s">
        <v>224</v>
      </c>
    </row>
    <row r="55" spans="1:7" x14ac:dyDescent="0.3">
      <c r="A55" s="3" t="s">
        <v>123</v>
      </c>
      <c r="B55" s="3" t="s">
        <v>124</v>
      </c>
      <c r="C55" s="3" t="s">
        <v>125</v>
      </c>
      <c r="D55" s="20" t="s">
        <v>38</v>
      </c>
      <c r="E55" s="4">
        <v>6144</v>
      </c>
      <c r="F55" s="4">
        <v>7250</v>
      </c>
      <c r="G55" s="3" t="s">
        <v>224</v>
      </c>
    </row>
    <row r="56" spans="1:7" x14ac:dyDescent="0.3">
      <c r="A56" s="3" t="s">
        <v>126</v>
      </c>
      <c r="B56" s="3" t="s">
        <v>127</v>
      </c>
      <c r="C56" s="3" t="s">
        <v>128</v>
      </c>
      <c r="D56" s="20" t="s">
        <v>129</v>
      </c>
      <c r="E56" s="4">
        <v>40853.449999999997</v>
      </c>
      <c r="F56" s="4">
        <v>48207</v>
      </c>
      <c r="G56" s="3" t="s">
        <v>224</v>
      </c>
    </row>
    <row r="57" spans="1:7" x14ac:dyDescent="0.3">
      <c r="A57" s="3" t="s">
        <v>130</v>
      </c>
      <c r="B57" s="3" t="s">
        <v>131</v>
      </c>
      <c r="C57" s="3" t="s">
        <v>132</v>
      </c>
      <c r="D57" s="20" t="s">
        <v>18</v>
      </c>
      <c r="E57" s="4">
        <v>38500.800000000003</v>
      </c>
      <c r="F57" s="4">
        <v>45431</v>
      </c>
      <c r="G57" s="3" t="s">
        <v>224</v>
      </c>
    </row>
    <row r="58" spans="1:7" x14ac:dyDescent="0.3">
      <c r="A58" s="3" t="s">
        <v>130</v>
      </c>
      <c r="B58" s="3" t="s">
        <v>131</v>
      </c>
      <c r="C58" s="3" t="s">
        <v>133</v>
      </c>
      <c r="D58" s="20" t="s">
        <v>14</v>
      </c>
      <c r="E58" s="4">
        <v>36483</v>
      </c>
      <c r="F58" s="4">
        <v>43050</v>
      </c>
      <c r="G58" s="3" t="s">
        <v>224</v>
      </c>
    </row>
    <row r="59" spans="1:7" x14ac:dyDescent="0.3">
      <c r="A59" s="3" t="s">
        <v>134</v>
      </c>
      <c r="B59" s="3" t="s">
        <v>135</v>
      </c>
      <c r="C59" s="3" t="s">
        <v>136</v>
      </c>
      <c r="D59" s="20" t="s">
        <v>16</v>
      </c>
      <c r="E59" s="4">
        <v>12125</v>
      </c>
      <c r="F59" s="4">
        <v>14308</v>
      </c>
      <c r="G59" s="3" t="s">
        <v>224</v>
      </c>
    </row>
    <row r="60" spans="1:7" x14ac:dyDescent="0.3">
      <c r="A60" s="3" t="s">
        <v>137</v>
      </c>
      <c r="B60" s="3" t="s">
        <v>138</v>
      </c>
      <c r="C60" s="3" t="s">
        <v>139</v>
      </c>
      <c r="D60" s="20" t="s">
        <v>56</v>
      </c>
      <c r="E60" s="4">
        <v>22928.81</v>
      </c>
      <c r="F60" s="4">
        <v>27056</v>
      </c>
      <c r="G60" s="3" t="s">
        <v>224</v>
      </c>
    </row>
    <row r="61" spans="1:7" x14ac:dyDescent="0.3">
      <c r="A61" s="3" t="s">
        <v>140</v>
      </c>
      <c r="B61" s="3" t="s">
        <v>141</v>
      </c>
      <c r="C61" s="3" t="s">
        <v>142</v>
      </c>
      <c r="D61" s="20" t="s">
        <v>56</v>
      </c>
      <c r="E61" s="4">
        <v>30761.8</v>
      </c>
      <c r="F61" s="4">
        <v>36299</v>
      </c>
      <c r="G61" s="3" t="s">
        <v>224</v>
      </c>
    </row>
    <row r="62" spans="1:7" x14ac:dyDescent="0.3">
      <c r="A62" s="3" t="s">
        <v>143</v>
      </c>
      <c r="B62" s="3" t="s">
        <v>144</v>
      </c>
      <c r="C62" s="3" t="s">
        <v>145</v>
      </c>
      <c r="D62" s="20" t="s">
        <v>129</v>
      </c>
      <c r="E62" s="4">
        <v>18233.7</v>
      </c>
      <c r="F62" s="4">
        <v>21515.759999999998</v>
      </c>
      <c r="G62" s="3" t="s">
        <v>224</v>
      </c>
    </row>
    <row r="63" spans="1:7" x14ac:dyDescent="0.3">
      <c r="A63" s="3" t="s">
        <v>143</v>
      </c>
      <c r="B63" s="3" t="s">
        <v>144</v>
      </c>
      <c r="C63" s="3" t="s">
        <v>146</v>
      </c>
      <c r="D63" s="20" t="s">
        <v>147</v>
      </c>
      <c r="E63" s="4">
        <v>34711.599999999999</v>
      </c>
      <c r="F63" s="4">
        <v>40959.68</v>
      </c>
      <c r="G63" s="3" t="s">
        <v>224</v>
      </c>
    </row>
    <row r="64" spans="1:7" x14ac:dyDescent="0.3">
      <c r="A64" s="3" t="s">
        <v>143</v>
      </c>
      <c r="B64" s="3" t="s">
        <v>144</v>
      </c>
      <c r="C64" s="3" t="s">
        <v>148</v>
      </c>
      <c r="D64" s="20" t="s">
        <v>95</v>
      </c>
      <c r="E64" s="4">
        <v>21198.66</v>
      </c>
      <c r="F64" s="4">
        <v>25014.42</v>
      </c>
      <c r="G64" s="3" t="s">
        <v>224</v>
      </c>
    </row>
    <row r="65" spans="1:7" x14ac:dyDescent="0.3">
      <c r="A65" s="3" t="s">
        <v>143</v>
      </c>
      <c r="B65" s="3" t="s">
        <v>144</v>
      </c>
      <c r="C65" s="3" t="s">
        <v>149</v>
      </c>
      <c r="D65" s="20" t="s">
        <v>14</v>
      </c>
      <c r="E65" s="4">
        <v>22721.599999999999</v>
      </c>
      <c r="F65" s="4">
        <v>26811.5</v>
      </c>
      <c r="G65" s="3" t="s">
        <v>224</v>
      </c>
    </row>
    <row r="66" spans="1:7" x14ac:dyDescent="0.3">
      <c r="A66" s="3" t="s">
        <v>143</v>
      </c>
      <c r="B66" s="3" t="s">
        <v>144</v>
      </c>
      <c r="C66" s="3" t="s">
        <v>150</v>
      </c>
      <c r="D66" s="20" t="s">
        <v>34</v>
      </c>
      <c r="E66" s="4">
        <v>33994.400000000001</v>
      </c>
      <c r="F66" s="4">
        <v>40113.4</v>
      </c>
      <c r="G66" s="3" t="s">
        <v>224</v>
      </c>
    </row>
    <row r="67" spans="1:7" x14ac:dyDescent="0.3">
      <c r="A67" s="3" t="s">
        <v>151</v>
      </c>
      <c r="B67" s="3" t="s">
        <v>152</v>
      </c>
      <c r="C67" s="3" t="s">
        <v>153</v>
      </c>
      <c r="D67" s="20" t="s">
        <v>56</v>
      </c>
      <c r="E67" s="4">
        <v>6227.74</v>
      </c>
      <c r="F67" s="4">
        <v>7349</v>
      </c>
      <c r="G67" s="3" t="s">
        <v>224</v>
      </c>
    </row>
    <row r="68" spans="1:7" x14ac:dyDescent="0.3">
      <c r="A68" s="3" t="s">
        <v>154</v>
      </c>
      <c r="B68" s="3" t="s">
        <v>155</v>
      </c>
      <c r="C68" s="3" t="s">
        <v>156</v>
      </c>
      <c r="D68" s="20" t="s">
        <v>40</v>
      </c>
      <c r="E68" s="4">
        <v>41694.92</v>
      </c>
      <c r="F68" s="4">
        <v>49200</v>
      </c>
      <c r="G68" s="3" t="s">
        <v>224</v>
      </c>
    </row>
    <row r="69" spans="1:7" x14ac:dyDescent="0.3">
      <c r="A69" s="3" t="s">
        <v>154</v>
      </c>
      <c r="B69" s="3" t="s">
        <v>155</v>
      </c>
      <c r="C69" s="3" t="s">
        <v>157</v>
      </c>
      <c r="D69" s="20" t="s">
        <v>77</v>
      </c>
      <c r="E69" s="4">
        <v>42033.9</v>
      </c>
      <c r="F69" s="4">
        <v>49600</v>
      </c>
      <c r="G69" s="3" t="s">
        <v>224</v>
      </c>
    </row>
    <row r="70" spans="1:7" x14ac:dyDescent="0.3">
      <c r="A70" s="3" t="s">
        <v>154</v>
      </c>
      <c r="B70" s="3" t="s">
        <v>155</v>
      </c>
      <c r="C70" s="3" t="s">
        <v>158</v>
      </c>
      <c r="D70" s="20" t="s">
        <v>48</v>
      </c>
      <c r="E70" s="4">
        <v>41186.44</v>
      </c>
      <c r="F70" s="4">
        <v>48600</v>
      </c>
      <c r="G70" s="3" t="s">
        <v>224</v>
      </c>
    </row>
    <row r="71" spans="1:7" x14ac:dyDescent="0.3">
      <c r="A71" s="3" t="s">
        <v>154</v>
      </c>
      <c r="B71" s="3" t="s">
        <v>155</v>
      </c>
      <c r="C71" s="3" t="s">
        <v>159</v>
      </c>
      <c r="D71" s="20" t="s">
        <v>56</v>
      </c>
      <c r="E71" s="4">
        <v>41694.92</v>
      </c>
      <c r="F71" s="4">
        <v>49200</v>
      </c>
      <c r="G71" s="3" t="s">
        <v>224</v>
      </c>
    </row>
    <row r="72" spans="1:7" x14ac:dyDescent="0.3">
      <c r="A72" s="3" t="s">
        <v>154</v>
      </c>
      <c r="B72" s="3" t="s">
        <v>155</v>
      </c>
      <c r="C72" s="3" t="s">
        <v>160</v>
      </c>
      <c r="D72" s="20" t="s">
        <v>161</v>
      </c>
      <c r="E72" s="4">
        <v>41983.040000000001</v>
      </c>
      <c r="F72" s="4">
        <v>49540</v>
      </c>
      <c r="G72" s="3" t="s">
        <v>224</v>
      </c>
    </row>
    <row r="73" spans="1:7" x14ac:dyDescent="0.3">
      <c r="A73" s="3" t="s">
        <v>154</v>
      </c>
      <c r="B73" s="3" t="s">
        <v>155</v>
      </c>
      <c r="C73" s="3" t="s">
        <v>162</v>
      </c>
      <c r="D73" s="20" t="s">
        <v>14</v>
      </c>
      <c r="E73" s="4">
        <v>41949.16</v>
      </c>
      <c r="F73" s="4">
        <v>49500</v>
      </c>
      <c r="G73" s="3" t="s">
        <v>224</v>
      </c>
    </row>
    <row r="74" spans="1:7" x14ac:dyDescent="0.3">
      <c r="A74" s="3" t="s">
        <v>154</v>
      </c>
      <c r="B74" s="3" t="s">
        <v>155</v>
      </c>
      <c r="C74" s="3" t="s">
        <v>163</v>
      </c>
      <c r="D74" s="20" t="s">
        <v>62</v>
      </c>
      <c r="E74" s="4">
        <v>41186.44</v>
      </c>
      <c r="F74" s="4">
        <v>48600</v>
      </c>
      <c r="G74" s="3" t="s">
        <v>224</v>
      </c>
    </row>
    <row r="75" spans="1:7" x14ac:dyDescent="0.3">
      <c r="A75" s="3" t="s">
        <v>164</v>
      </c>
      <c r="B75" s="3" t="s">
        <v>165</v>
      </c>
      <c r="C75" s="3" t="s">
        <v>166</v>
      </c>
      <c r="D75" s="20" t="s">
        <v>147</v>
      </c>
      <c r="E75" s="4">
        <v>13559.32</v>
      </c>
      <c r="F75" s="4">
        <v>16000</v>
      </c>
      <c r="G75" s="3" t="s">
        <v>224</v>
      </c>
    </row>
    <row r="76" spans="1:7" x14ac:dyDescent="0.3">
      <c r="A76" s="3" t="s">
        <v>167</v>
      </c>
      <c r="B76" s="3" t="s">
        <v>168</v>
      </c>
      <c r="C76" s="3" t="s">
        <v>169</v>
      </c>
      <c r="D76" s="20" t="s">
        <v>16</v>
      </c>
      <c r="E76" s="4">
        <v>7796.6</v>
      </c>
      <c r="F76" s="4">
        <v>9200</v>
      </c>
      <c r="G76" s="3" t="s">
        <v>224</v>
      </c>
    </row>
    <row r="77" spans="1:7" x14ac:dyDescent="0.3">
      <c r="A77" s="3" t="s">
        <v>170</v>
      </c>
      <c r="B77" s="3" t="s">
        <v>171</v>
      </c>
      <c r="C77" s="3" t="s">
        <v>172</v>
      </c>
      <c r="D77" s="20" t="s">
        <v>30</v>
      </c>
      <c r="E77" s="4">
        <v>27589.29</v>
      </c>
      <c r="F77" s="4">
        <v>32555</v>
      </c>
      <c r="G77" s="3" t="s">
        <v>224</v>
      </c>
    </row>
    <row r="78" spans="1:7" x14ac:dyDescent="0.3">
      <c r="A78" s="3" t="s">
        <v>173</v>
      </c>
      <c r="B78" s="3" t="s">
        <v>174</v>
      </c>
      <c r="C78" s="3" t="s">
        <v>175</v>
      </c>
      <c r="D78" s="20" t="s">
        <v>119</v>
      </c>
      <c r="E78" s="4">
        <v>3762.16</v>
      </c>
      <c r="F78" s="4">
        <v>4439</v>
      </c>
      <c r="G78" s="3" t="s">
        <v>224</v>
      </c>
    </row>
    <row r="79" spans="1:7" x14ac:dyDescent="0.3">
      <c r="A79" s="3" t="s">
        <v>173</v>
      </c>
      <c r="B79" s="3" t="s">
        <v>174</v>
      </c>
      <c r="C79" s="3" t="s">
        <v>176</v>
      </c>
      <c r="D79" s="20" t="s">
        <v>161</v>
      </c>
      <c r="E79" s="4">
        <v>37823.42</v>
      </c>
      <c r="F79" s="4">
        <v>44632</v>
      </c>
      <c r="G79" s="3" t="s">
        <v>224</v>
      </c>
    </row>
    <row r="80" spans="1:7" x14ac:dyDescent="0.3">
      <c r="A80" s="3" t="s">
        <v>177</v>
      </c>
      <c r="B80" s="3" t="s">
        <v>178</v>
      </c>
      <c r="C80" s="3" t="s">
        <v>179</v>
      </c>
      <c r="D80" s="20" t="s">
        <v>95</v>
      </c>
      <c r="E80" s="4">
        <v>42033.9</v>
      </c>
      <c r="F80" s="4">
        <v>49600</v>
      </c>
      <c r="G80" s="3" t="s">
        <v>224</v>
      </c>
    </row>
    <row r="81" spans="1:7" x14ac:dyDescent="0.3">
      <c r="A81" s="3" t="s">
        <v>177</v>
      </c>
      <c r="B81" s="3" t="s">
        <v>178</v>
      </c>
      <c r="C81" s="3" t="s">
        <v>180</v>
      </c>
      <c r="D81" s="20" t="s">
        <v>161</v>
      </c>
      <c r="E81" s="4">
        <v>5516.94</v>
      </c>
      <c r="F81" s="4">
        <v>6510</v>
      </c>
      <c r="G81" s="3" t="s">
        <v>224</v>
      </c>
    </row>
    <row r="82" spans="1:7" x14ac:dyDescent="0.3">
      <c r="A82" s="3" t="s">
        <v>181</v>
      </c>
      <c r="B82" s="3" t="s">
        <v>182</v>
      </c>
      <c r="C82" s="3" t="s">
        <v>183</v>
      </c>
      <c r="D82" s="20" t="s">
        <v>62</v>
      </c>
      <c r="E82" s="4">
        <v>18740</v>
      </c>
      <c r="F82" s="4">
        <v>22113</v>
      </c>
      <c r="G82" s="3" t="s">
        <v>224</v>
      </c>
    </row>
    <row r="83" spans="1:7" x14ac:dyDescent="0.3">
      <c r="A83" s="3" t="s">
        <v>184</v>
      </c>
      <c r="B83" s="3" t="s">
        <v>185</v>
      </c>
      <c r="C83" s="3" t="s">
        <v>186</v>
      </c>
      <c r="D83" s="20" t="s">
        <v>53</v>
      </c>
      <c r="E83" s="4">
        <v>7016.96</v>
      </c>
      <c r="F83" s="4">
        <v>8280.02</v>
      </c>
      <c r="G83" s="3" t="s">
        <v>224</v>
      </c>
    </row>
    <row r="84" spans="1:7" x14ac:dyDescent="0.3">
      <c r="A84" s="5" t="s">
        <v>173</v>
      </c>
      <c r="B84" s="6" t="s">
        <v>188</v>
      </c>
      <c r="C84" s="7" t="s">
        <v>175</v>
      </c>
      <c r="D84" s="23">
        <v>45992</v>
      </c>
      <c r="E84" s="8">
        <v>3762.16</v>
      </c>
      <c r="F84" s="9">
        <v>4439</v>
      </c>
      <c r="G84" s="10" t="s">
        <v>225</v>
      </c>
    </row>
    <row r="85" spans="1:7" x14ac:dyDescent="0.3">
      <c r="A85" s="5" t="s">
        <v>126</v>
      </c>
      <c r="B85" s="6" t="s">
        <v>189</v>
      </c>
      <c r="C85" s="7" t="s">
        <v>128</v>
      </c>
      <c r="D85" s="23">
        <v>45993</v>
      </c>
      <c r="E85" s="8">
        <v>40853.47</v>
      </c>
      <c r="F85" s="9">
        <v>48207</v>
      </c>
      <c r="G85" s="10" t="s">
        <v>225</v>
      </c>
    </row>
    <row r="86" spans="1:7" x14ac:dyDescent="0.3">
      <c r="A86" s="5" t="s">
        <v>143</v>
      </c>
      <c r="B86" s="6" t="s">
        <v>190</v>
      </c>
      <c r="C86" s="7" t="s">
        <v>145</v>
      </c>
      <c r="D86" s="23">
        <v>45993</v>
      </c>
      <c r="E86" s="8">
        <v>18233.7</v>
      </c>
      <c r="F86" s="9">
        <v>21516</v>
      </c>
      <c r="G86" s="10" t="s">
        <v>225</v>
      </c>
    </row>
    <row r="87" spans="1:7" x14ac:dyDescent="0.3">
      <c r="A87" s="5" t="s">
        <v>123</v>
      </c>
      <c r="B87" s="6" t="s">
        <v>124</v>
      </c>
      <c r="C87" s="7" t="s">
        <v>125</v>
      </c>
      <c r="D87" s="23">
        <v>45994</v>
      </c>
      <c r="E87" s="8">
        <v>6144</v>
      </c>
      <c r="F87" s="9">
        <v>7250</v>
      </c>
      <c r="G87" s="10" t="s">
        <v>225</v>
      </c>
    </row>
    <row r="88" spans="1:7" x14ac:dyDescent="0.3">
      <c r="A88" s="5" t="s">
        <v>35</v>
      </c>
      <c r="B88" s="6" t="s">
        <v>191</v>
      </c>
      <c r="C88" s="7" t="s">
        <v>39</v>
      </c>
      <c r="D88" s="23">
        <v>45995</v>
      </c>
      <c r="E88" s="8">
        <v>6610.14</v>
      </c>
      <c r="F88" s="9">
        <v>7800</v>
      </c>
      <c r="G88" s="10" t="s">
        <v>225</v>
      </c>
    </row>
    <row r="89" spans="1:7" x14ac:dyDescent="0.3">
      <c r="A89" s="5" t="s">
        <v>154</v>
      </c>
      <c r="B89" s="6" t="s">
        <v>192</v>
      </c>
      <c r="C89" s="7" t="s">
        <v>156</v>
      </c>
      <c r="D89" s="23">
        <v>45995</v>
      </c>
      <c r="E89" s="8">
        <v>41694.92</v>
      </c>
      <c r="F89" s="9">
        <v>49200</v>
      </c>
      <c r="G89" s="10" t="s">
        <v>225</v>
      </c>
    </row>
    <row r="90" spans="1:7" x14ac:dyDescent="0.3">
      <c r="A90" s="5" t="s">
        <v>5</v>
      </c>
      <c r="B90" s="6" t="s">
        <v>6</v>
      </c>
      <c r="C90" s="7" t="s">
        <v>7</v>
      </c>
      <c r="D90" s="23">
        <v>45996</v>
      </c>
      <c r="E90" s="8">
        <v>26911</v>
      </c>
      <c r="F90" s="9">
        <v>31755</v>
      </c>
      <c r="G90" s="10" t="s">
        <v>225</v>
      </c>
    </row>
    <row r="91" spans="1:7" x14ac:dyDescent="0.3">
      <c r="A91" s="5" t="s">
        <v>193</v>
      </c>
      <c r="B91" s="6" t="s">
        <v>75</v>
      </c>
      <c r="C91" s="7" t="s">
        <v>76</v>
      </c>
      <c r="D91" s="23">
        <v>45997</v>
      </c>
      <c r="E91" s="8">
        <v>49817.04</v>
      </c>
      <c r="F91" s="9">
        <v>58784</v>
      </c>
      <c r="G91" s="10" t="s">
        <v>225</v>
      </c>
    </row>
    <row r="92" spans="1:7" x14ac:dyDescent="0.3">
      <c r="A92" s="5" t="s">
        <v>154</v>
      </c>
      <c r="B92" s="6" t="s">
        <v>192</v>
      </c>
      <c r="C92" s="7" t="s">
        <v>157</v>
      </c>
      <c r="D92" s="23">
        <v>45997</v>
      </c>
      <c r="E92" s="8">
        <v>42033.9</v>
      </c>
      <c r="F92" s="9">
        <v>49600</v>
      </c>
      <c r="G92" s="10" t="s">
        <v>225</v>
      </c>
    </row>
    <row r="93" spans="1:7" x14ac:dyDescent="0.3">
      <c r="A93" s="5" t="s">
        <v>35</v>
      </c>
      <c r="B93" s="6" t="s">
        <v>191</v>
      </c>
      <c r="C93" s="7" t="s">
        <v>41</v>
      </c>
      <c r="D93" s="23">
        <v>45998</v>
      </c>
      <c r="E93" s="8">
        <v>8940.68</v>
      </c>
      <c r="F93" s="9">
        <v>10550</v>
      </c>
      <c r="G93" s="10" t="s">
        <v>225</v>
      </c>
    </row>
    <row r="94" spans="1:7" x14ac:dyDescent="0.3">
      <c r="A94" s="5" t="s">
        <v>35</v>
      </c>
      <c r="B94" s="6" t="s">
        <v>191</v>
      </c>
      <c r="C94" s="7" t="s">
        <v>42</v>
      </c>
      <c r="D94" s="23">
        <v>45998</v>
      </c>
      <c r="E94" s="8">
        <v>8542.35</v>
      </c>
      <c r="F94" s="9">
        <v>10080</v>
      </c>
      <c r="G94" s="10" t="s">
        <v>225</v>
      </c>
    </row>
    <row r="95" spans="1:7" x14ac:dyDescent="0.3">
      <c r="A95" s="5" t="s">
        <v>5</v>
      </c>
      <c r="B95" s="6" t="s">
        <v>6</v>
      </c>
      <c r="C95" s="7" t="s">
        <v>194</v>
      </c>
      <c r="D95" s="23">
        <v>45998</v>
      </c>
      <c r="E95" s="8">
        <v>5101.6000000000004</v>
      </c>
      <c r="F95" s="9">
        <v>6020</v>
      </c>
      <c r="G95" s="10" t="s">
        <v>225</v>
      </c>
    </row>
    <row r="96" spans="1:7" x14ac:dyDescent="0.3">
      <c r="A96" s="5" t="s">
        <v>35</v>
      </c>
      <c r="B96" s="6" t="s">
        <v>191</v>
      </c>
      <c r="C96" s="7" t="s">
        <v>43</v>
      </c>
      <c r="D96" s="23">
        <v>45999</v>
      </c>
      <c r="E96" s="8">
        <v>3878</v>
      </c>
      <c r="F96" s="9">
        <v>4576</v>
      </c>
      <c r="G96" s="10" t="s">
        <v>225</v>
      </c>
    </row>
    <row r="97" spans="1:7" x14ac:dyDescent="0.3">
      <c r="A97" s="5" t="s">
        <v>106</v>
      </c>
      <c r="B97" s="6" t="s">
        <v>195</v>
      </c>
      <c r="C97" s="7" t="s">
        <v>196</v>
      </c>
      <c r="D97" s="23">
        <v>45999</v>
      </c>
      <c r="E97" s="8">
        <v>4449</v>
      </c>
      <c r="F97" s="9">
        <v>5250</v>
      </c>
      <c r="G97" s="10" t="s">
        <v>225</v>
      </c>
    </row>
    <row r="98" spans="1:7" x14ac:dyDescent="0.3">
      <c r="A98" s="5" t="s">
        <v>106</v>
      </c>
      <c r="B98" s="6" t="s">
        <v>195</v>
      </c>
      <c r="C98" s="7" t="s">
        <v>197</v>
      </c>
      <c r="D98" s="23">
        <v>45999</v>
      </c>
      <c r="E98" s="8">
        <v>5262.6</v>
      </c>
      <c r="F98" s="9">
        <v>6210</v>
      </c>
      <c r="G98" s="10" t="s">
        <v>225</v>
      </c>
    </row>
    <row r="99" spans="1:7" x14ac:dyDescent="0.3">
      <c r="A99" s="5" t="s">
        <v>35</v>
      </c>
      <c r="B99" s="6" t="s">
        <v>191</v>
      </c>
      <c r="C99" s="7" t="s">
        <v>45</v>
      </c>
      <c r="D99" s="23">
        <v>46000</v>
      </c>
      <c r="E99" s="8">
        <v>7627.11</v>
      </c>
      <c r="F99" s="9">
        <v>9000</v>
      </c>
      <c r="G99" s="10" t="s">
        <v>225</v>
      </c>
    </row>
    <row r="100" spans="1:7" x14ac:dyDescent="0.3">
      <c r="A100" s="5" t="s">
        <v>164</v>
      </c>
      <c r="B100" s="6" t="s">
        <v>165</v>
      </c>
      <c r="C100" s="7" t="s">
        <v>166</v>
      </c>
      <c r="D100" s="23">
        <v>46001</v>
      </c>
      <c r="E100" s="8">
        <v>13559.32</v>
      </c>
      <c r="F100" s="9">
        <v>16000</v>
      </c>
      <c r="G100" s="10" t="s">
        <v>225</v>
      </c>
    </row>
    <row r="101" spans="1:7" x14ac:dyDescent="0.3">
      <c r="A101" s="5" t="s">
        <v>143</v>
      </c>
      <c r="B101" s="6" t="s">
        <v>190</v>
      </c>
      <c r="C101" s="7" t="s">
        <v>146</v>
      </c>
      <c r="D101" s="23">
        <v>46001</v>
      </c>
      <c r="E101" s="8">
        <v>34711.599999999999</v>
      </c>
      <c r="F101" s="9">
        <v>40960</v>
      </c>
      <c r="G101" s="10" t="s">
        <v>225</v>
      </c>
    </row>
    <row r="102" spans="1:7" x14ac:dyDescent="0.3">
      <c r="A102" s="5" t="s">
        <v>35</v>
      </c>
      <c r="B102" s="6" t="s">
        <v>191</v>
      </c>
      <c r="C102" s="7" t="s">
        <v>47</v>
      </c>
      <c r="D102" s="23">
        <v>46003</v>
      </c>
      <c r="E102" s="8">
        <v>17585.580000000002</v>
      </c>
      <c r="F102" s="9">
        <v>20751</v>
      </c>
      <c r="G102" s="10" t="s">
        <v>225</v>
      </c>
    </row>
    <row r="103" spans="1:7" x14ac:dyDescent="0.3">
      <c r="A103" s="5" t="s">
        <v>90</v>
      </c>
      <c r="B103" s="6" t="s">
        <v>198</v>
      </c>
      <c r="C103" s="7" t="s">
        <v>93</v>
      </c>
      <c r="D103" s="23">
        <v>46003</v>
      </c>
      <c r="E103" s="8">
        <v>16779.599999999999</v>
      </c>
      <c r="F103" s="9">
        <v>19800</v>
      </c>
      <c r="G103" s="10" t="s">
        <v>225</v>
      </c>
    </row>
    <row r="104" spans="1:7" x14ac:dyDescent="0.3">
      <c r="A104" s="5" t="s">
        <v>109</v>
      </c>
      <c r="B104" s="6" t="s">
        <v>199</v>
      </c>
      <c r="C104" s="7" t="s">
        <v>111</v>
      </c>
      <c r="D104" s="23">
        <v>46003</v>
      </c>
      <c r="E104" s="8">
        <v>4983</v>
      </c>
      <c r="F104" s="9">
        <v>5880</v>
      </c>
      <c r="G104" s="10" t="s">
        <v>225</v>
      </c>
    </row>
    <row r="105" spans="1:7" x14ac:dyDescent="0.3">
      <c r="A105" s="5" t="s">
        <v>154</v>
      </c>
      <c r="B105" s="6" t="s">
        <v>192</v>
      </c>
      <c r="C105" s="7" t="s">
        <v>158</v>
      </c>
      <c r="D105" s="23">
        <v>46003</v>
      </c>
      <c r="E105" s="8">
        <v>41186.44</v>
      </c>
      <c r="F105" s="9">
        <v>48600</v>
      </c>
      <c r="G105" s="10" t="s">
        <v>225</v>
      </c>
    </row>
    <row r="106" spans="1:7" x14ac:dyDescent="0.3">
      <c r="A106" s="5" t="s">
        <v>35</v>
      </c>
      <c r="B106" s="6" t="s">
        <v>191</v>
      </c>
      <c r="C106" s="7" t="s">
        <v>49</v>
      </c>
      <c r="D106" s="23">
        <v>46005</v>
      </c>
      <c r="E106" s="8">
        <v>31763</v>
      </c>
      <c r="F106" s="9">
        <v>37480</v>
      </c>
      <c r="G106" s="10" t="s">
        <v>225</v>
      </c>
    </row>
    <row r="107" spans="1:7" x14ac:dyDescent="0.3">
      <c r="A107" s="5" t="s">
        <v>103</v>
      </c>
      <c r="B107" s="6" t="s">
        <v>200</v>
      </c>
      <c r="C107" s="7" t="s">
        <v>105</v>
      </c>
      <c r="D107" s="23">
        <v>46005</v>
      </c>
      <c r="E107" s="8">
        <v>5168.8999999999996</v>
      </c>
      <c r="F107" s="9">
        <v>6099</v>
      </c>
      <c r="G107" s="10" t="s">
        <v>225</v>
      </c>
    </row>
    <row r="108" spans="1:7" x14ac:dyDescent="0.3">
      <c r="A108" s="5" t="s">
        <v>112</v>
      </c>
      <c r="B108" s="6" t="s">
        <v>201</v>
      </c>
      <c r="C108" s="7" t="s">
        <v>114</v>
      </c>
      <c r="D108" s="23">
        <v>46005</v>
      </c>
      <c r="E108" s="8">
        <v>59598.3</v>
      </c>
      <c r="F108" s="9">
        <v>70326</v>
      </c>
      <c r="G108" s="10" t="s">
        <v>225</v>
      </c>
    </row>
    <row r="109" spans="1:7" x14ac:dyDescent="0.3">
      <c r="A109" s="5" t="s">
        <v>27</v>
      </c>
      <c r="B109" s="6" t="s">
        <v>202</v>
      </c>
      <c r="C109" s="7" t="s">
        <v>29</v>
      </c>
      <c r="D109" s="23">
        <v>46006</v>
      </c>
      <c r="E109" s="8">
        <v>8262.7199999999993</v>
      </c>
      <c r="F109" s="9">
        <v>9750</v>
      </c>
      <c r="G109" s="10" t="s">
        <v>225</v>
      </c>
    </row>
    <row r="110" spans="1:7" x14ac:dyDescent="0.3">
      <c r="A110" s="5" t="s">
        <v>170</v>
      </c>
      <c r="B110" s="6" t="s">
        <v>203</v>
      </c>
      <c r="C110" s="7" t="s">
        <v>172</v>
      </c>
      <c r="D110" s="23">
        <v>46006</v>
      </c>
      <c r="E110" s="8">
        <v>27589.29</v>
      </c>
      <c r="F110" s="9">
        <v>32555</v>
      </c>
      <c r="G110" s="10" t="s">
        <v>225</v>
      </c>
    </row>
    <row r="111" spans="1:7" x14ac:dyDescent="0.3">
      <c r="A111" s="5" t="s">
        <v>143</v>
      </c>
      <c r="B111" s="6" t="s">
        <v>190</v>
      </c>
      <c r="C111" s="7" t="s">
        <v>148</v>
      </c>
      <c r="D111" s="23">
        <v>46007</v>
      </c>
      <c r="E111" s="8">
        <v>21198.66</v>
      </c>
      <c r="F111" s="9">
        <v>25014</v>
      </c>
      <c r="G111" s="10" t="s">
        <v>225</v>
      </c>
    </row>
    <row r="112" spans="1:7" x14ac:dyDescent="0.3">
      <c r="A112" s="5" t="s">
        <v>177</v>
      </c>
      <c r="B112" s="6" t="s">
        <v>204</v>
      </c>
      <c r="C112" s="7" t="s">
        <v>179</v>
      </c>
      <c r="D112" s="23">
        <v>46007</v>
      </c>
      <c r="E112" s="8">
        <v>42033.9</v>
      </c>
      <c r="F112" s="9">
        <v>49600</v>
      </c>
      <c r="G112" s="10" t="s">
        <v>225</v>
      </c>
    </row>
    <row r="113" spans="1:7" x14ac:dyDescent="0.3">
      <c r="A113" s="5" t="s">
        <v>177</v>
      </c>
      <c r="B113" s="6" t="s">
        <v>204</v>
      </c>
      <c r="C113" s="7" t="s">
        <v>205</v>
      </c>
      <c r="D113" s="23">
        <v>46007</v>
      </c>
      <c r="E113" s="8">
        <v>338.98</v>
      </c>
      <c r="F113" s="9">
        <v>400</v>
      </c>
      <c r="G113" s="10" t="s">
        <v>225</v>
      </c>
    </row>
    <row r="114" spans="1:7" x14ac:dyDescent="0.3">
      <c r="A114" s="5" t="s">
        <v>90</v>
      </c>
      <c r="B114" s="6" t="s">
        <v>198</v>
      </c>
      <c r="C114" s="7" t="s">
        <v>94</v>
      </c>
      <c r="D114" s="23">
        <v>46007</v>
      </c>
      <c r="E114" s="8">
        <v>3728.8</v>
      </c>
      <c r="F114" s="9">
        <v>4400</v>
      </c>
      <c r="G114" s="10" t="s">
        <v>225</v>
      </c>
    </row>
    <row r="115" spans="1:7" x14ac:dyDescent="0.3">
      <c r="A115" s="5" t="s">
        <v>5</v>
      </c>
      <c r="B115" s="6" t="s">
        <v>6</v>
      </c>
      <c r="C115" s="7" t="s">
        <v>11</v>
      </c>
      <c r="D115" s="23">
        <v>46008</v>
      </c>
      <c r="E115" s="8">
        <v>30523.4</v>
      </c>
      <c r="F115" s="9">
        <v>36018</v>
      </c>
      <c r="G115" s="10" t="s">
        <v>225</v>
      </c>
    </row>
    <row r="116" spans="1:7" x14ac:dyDescent="0.3">
      <c r="A116" s="5" t="s">
        <v>184</v>
      </c>
      <c r="B116" s="6" t="s">
        <v>206</v>
      </c>
      <c r="C116" s="7" t="s">
        <v>186</v>
      </c>
      <c r="D116" s="23">
        <v>46009</v>
      </c>
      <c r="E116" s="8">
        <v>7016.96</v>
      </c>
      <c r="F116" s="9">
        <v>8280</v>
      </c>
      <c r="G116" s="10" t="s">
        <v>225</v>
      </c>
    </row>
    <row r="117" spans="1:7" x14ac:dyDescent="0.3">
      <c r="A117" s="5" t="s">
        <v>151</v>
      </c>
      <c r="B117" s="6" t="s">
        <v>207</v>
      </c>
      <c r="C117" s="7" t="s">
        <v>153</v>
      </c>
      <c r="D117" s="23">
        <v>46010</v>
      </c>
      <c r="E117" s="8">
        <v>6227.74</v>
      </c>
      <c r="F117" s="9">
        <v>7349</v>
      </c>
      <c r="G117" s="10" t="s">
        <v>225</v>
      </c>
    </row>
    <row r="118" spans="1:7" x14ac:dyDescent="0.3">
      <c r="A118" s="5" t="s">
        <v>35</v>
      </c>
      <c r="B118" s="6" t="s">
        <v>191</v>
      </c>
      <c r="C118" s="7" t="s">
        <v>55</v>
      </c>
      <c r="D118" s="23">
        <v>46010</v>
      </c>
      <c r="E118" s="8">
        <v>12547.7</v>
      </c>
      <c r="F118" s="9">
        <v>14806</v>
      </c>
      <c r="G118" s="10" t="s">
        <v>225</v>
      </c>
    </row>
    <row r="119" spans="1:7" x14ac:dyDescent="0.3">
      <c r="A119" s="5" t="s">
        <v>137</v>
      </c>
      <c r="B119" s="6" t="s">
        <v>208</v>
      </c>
      <c r="C119" s="7" t="s">
        <v>139</v>
      </c>
      <c r="D119" s="23">
        <v>46010</v>
      </c>
      <c r="E119" s="8">
        <v>22928.81</v>
      </c>
      <c r="F119" s="9">
        <v>27056</v>
      </c>
      <c r="G119" s="10" t="s">
        <v>225</v>
      </c>
    </row>
    <row r="120" spans="1:7" x14ac:dyDescent="0.3">
      <c r="A120" s="5" t="s">
        <v>140</v>
      </c>
      <c r="B120" s="6" t="s">
        <v>141</v>
      </c>
      <c r="C120" s="7" t="s">
        <v>142</v>
      </c>
      <c r="D120" s="23">
        <v>46010</v>
      </c>
      <c r="E120" s="8">
        <v>30761.8</v>
      </c>
      <c r="F120" s="9">
        <v>36299</v>
      </c>
      <c r="G120" s="10" t="s">
        <v>225</v>
      </c>
    </row>
    <row r="121" spans="1:7" x14ac:dyDescent="0.3">
      <c r="A121" s="5" t="s">
        <v>154</v>
      </c>
      <c r="B121" s="6" t="s">
        <v>192</v>
      </c>
      <c r="C121" s="7" t="s">
        <v>159</v>
      </c>
      <c r="D121" s="23">
        <v>46010</v>
      </c>
      <c r="E121" s="8">
        <v>41694.92</v>
      </c>
      <c r="F121" s="9">
        <v>49200</v>
      </c>
      <c r="G121" s="10" t="s">
        <v>225</v>
      </c>
    </row>
    <row r="122" spans="1:7" x14ac:dyDescent="0.3">
      <c r="A122" s="5" t="s">
        <v>173</v>
      </c>
      <c r="B122" s="6" t="s">
        <v>188</v>
      </c>
      <c r="C122" s="7" t="s">
        <v>176</v>
      </c>
      <c r="D122" s="23">
        <v>46013</v>
      </c>
      <c r="E122" s="8">
        <v>37823.42</v>
      </c>
      <c r="F122" s="9">
        <v>44632</v>
      </c>
      <c r="G122" s="10" t="s">
        <v>225</v>
      </c>
    </row>
    <row r="123" spans="1:7" x14ac:dyDescent="0.3">
      <c r="A123" s="5" t="s">
        <v>177</v>
      </c>
      <c r="B123" s="6" t="s">
        <v>204</v>
      </c>
      <c r="C123" s="7" t="s">
        <v>180</v>
      </c>
      <c r="D123" s="23">
        <v>46013</v>
      </c>
      <c r="E123" s="8">
        <v>5516.94</v>
      </c>
      <c r="F123" s="9">
        <v>6510</v>
      </c>
      <c r="G123" s="10" t="s">
        <v>225</v>
      </c>
    </row>
    <row r="124" spans="1:7" x14ac:dyDescent="0.3">
      <c r="A124" s="5" t="s">
        <v>154</v>
      </c>
      <c r="B124" s="6" t="s">
        <v>192</v>
      </c>
      <c r="C124" s="7" t="s">
        <v>160</v>
      </c>
      <c r="D124" s="23">
        <v>46013</v>
      </c>
      <c r="E124" s="8">
        <v>41982.96</v>
      </c>
      <c r="F124" s="9">
        <v>49540</v>
      </c>
      <c r="G124" s="10" t="s">
        <v>225</v>
      </c>
    </row>
    <row r="125" spans="1:7" x14ac:dyDescent="0.3">
      <c r="A125" s="5" t="s">
        <v>35</v>
      </c>
      <c r="B125" s="6" t="s">
        <v>191</v>
      </c>
      <c r="C125" s="7" t="s">
        <v>59</v>
      </c>
      <c r="D125" s="23">
        <v>46014</v>
      </c>
      <c r="E125" s="8">
        <v>27876</v>
      </c>
      <c r="F125" s="9">
        <v>32894</v>
      </c>
      <c r="G125" s="10" t="s">
        <v>225</v>
      </c>
    </row>
    <row r="126" spans="1:7" x14ac:dyDescent="0.3">
      <c r="A126" s="5" t="s">
        <v>5</v>
      </c>
      <c r="B126" s="6" t="s">
        <v>6</v>
      </c>
      <c r="C126" s="7" t="s">
        <v>13</v>
      </c>
      <c r="D126" s="23">
        <v>46014</v>
      </c>
      <c r="E126" s="8">
        <v>17796</v>
      </c>
      <c r="F126" s="9">
        <v>20999</v>
      </c>
      <c r="G126" s="10" t="s">
        <v>225</v>
      </c>
    </row>
    <row r="127" spans="1:7" x14ac:dyDescent="0.3">
      <c r="A127" s="5" t="s">
        <v>130</v>
      </c>
      <c r="B127" s="6" t="s">
        <v>209</v>
      </c>
      <c r="C127" s="7" t="s">
        <v>133</v>
      </c>
      <c r="D127" s="23">
        <v>46014</v>
      </c>
      <c r="E127" s="8">
        <v>36483</v>
      </c>
      <c r="F127" s="9">
        <v>43050</v>
      </c>
      <c r="G127" s="10" t="s">
        <v>225</v>
      </c>
    </row>
    <row r="128" spans="1:7" x14ac:dyDescent="0.3">
      <c r="A128" s="5" t="s">
        <v>143</v>
      </c>
      <c r="B128" s="6" t="s">
        <v>190</v>
      </c>
      <c r="C128" s="7" t="s">
        <v>149</v>
      </c>
      <c r="D128" s="23">
        <v>46014</v>
      </c>
      <c r="E128" s="8">
        <v>22721.599999999999</v>
      </c>
      <c r="F128" s="9">
        <v>26812</v>
      </c>
      <c r="G128" s="10" t="s">
        <v>225</v>
      </c>
    </row>
    <row r="129" spans="1:7" x14ac:dyDescent="0.3">
      <c r="A129" s="5" t="s">
        <v>154</v>
      </c>
      <c r="B129" s="6" t="s">
        <v>192</v>
      </c>
      <c r="C129" s="7" t="s">
        <v>162</v>
      </c>
      <c r="D129" s="23">
        <v>46014</v>
      </c>
      <c r="E129" s="8">
        <v>41949.16</v>
      </c>
      <c r="F129" s="9">
        <v>49500</v>
      </c>
      <c r="G129" s="10" t="s">
        <v>225</v>
      </c>
    </row>
    <row r="130" spans="1:7" x14ac:dyDescent="0.3">
      <c r="A130" s="5" t="s">
        <v>181</v>
      </c>
      <c r="B130" s="6" t="s">
        <v>210</v>
      </c>
      <c r="C130" s="7" t="s">
        <v>183</v>
      </c>
      <c r="D130" s="23">
        <v>46016</v>
      </c>
      <c r="E130" s="8">
        <v>18740</v>
      </c>
      <c r="F130" s="9">
        <v>22113</v>
      </c>
      <c r="G130" s="10" t="s">
        <v>225</v>
      </c>
    </row>
    <row r="131" spans="1:7" x14ac:dyDescent="0.3">
      <c r="A131" s="5" t="s">
        <v>154</v>
      </c>
      <c r="B131" s="6" t="s">
        <v>192</v>
      </c>
      <c r="C131" s="7" t="s">
        <v>211</v>
      </c>
      <c r="D131" s="23">
        <v>46016</v>
      </c>
      <c r="E131" s="8">
        <v>41186.44</v>
      </c>
      <c r="F131" s="9">
        <v>48600</v>
      </c>
      <c r="G131" s="10" t="s">
        <v>225</v>
      </c>
    </row>
    <row r="132" spans="1:7" x14ac:dyDescent="0.3">
      <c r="A132" s="5" t="s">
        <v>112</v>
      </c>
      <c r="B132" s="6" t="s">
        <v>201</v>
      </c>
      <c r="C132" s="7" t="s">
        <v>115</v>
      </c>
      <c r="D132" s="23">
        <v>46017</v>
      </c>
      <c r="E132" s="8">
        <v>31044.9</v>
      </c>
      <c r="F132" s="9">
        <v>36633</v>
      </c>
      <c r="G132" s="10" t="s">
        <v>225</v>
      </c>
    </row>
    <row r="133" spans="1:7" x14ac:dyDescent="0.3">
      <c r="A133" s="5" t="s">
        <v>134</v>
      </c>
      <c r="B133" s="6" t="s">
        <v>212</v>
      </c>
      <c r="C133" s="7" t="s">
        <v>213</v>
      </c>
      <c r="D133" s="23">
        <v>46017</v>
      </c>
      <c r="E133" s="8">
        <v>12125</v>
      </c>
      <c r="F133" s="9">
        <v>14308</v>
      </c>
      <c r="G133" s="10" t="s">
        <v>225</v>
      </c>
    </row>
    <row r="134" spans="1:7" x14ac:dyDescent="0.3">
      <c r="A134" s="5" t="s">
        <v>81</v>
      </c>
      <c r="B134" s="6" t="s">
        <v>82</v>
      </c>
      <c r="C134" s="7" t="s">
        <v>83</v>
      </c>
      <c r="D134" s="23">
        <v>46017</v>
      </c>
      <c r="E134" s="8">
        <v>5035.2</v>
      </c>
      <c r="F134" s="9">
        <v>5942</v>
      </c>
      <c r="G134" s="10" t="s">
        <v>225</v>
      </c>
    </row>
    <row r="135" spans="1:7" x14ac:dyDescent="0.3">
      <c r="A135" s="5" t="s">
        <v>167</v>
      </c>
      <c r="B135" s="6" t="s">
        <v>168</v>
      </c>
      <c r="C135" s="7" t="s">
        <v>169</v>
      </c>
      <c r="D135" s="23">
        <v>46017</v>
      </c>
      <c r="E135" s="8">
        <v>7796.6</v>
      </c>
      <c r="F135" s="9">
        <v>9200</v>
      </c>
      <c r="G135" s="10" t="s">
        <v>225</v>
      </c>
    </row>
    <row r="136" spans="1:7" x14ac:dyDescent="0.3">
      <c r="A136" s="5" t="s">
        <v>5</v>
      </c>
      <c r="B136" s="6" t="s">
        <v>6</v>
      </c>
      <c r="C136" s="7" t="s">
        <v>15</v>
      </c>
      <c r="D136" s="23">
        <v>46017</v>
      </c>
      <c r="E136" s="8">
        <v>3804.7</v>
      </c>
      <c r="F136" s="9">
        <v>4490</v>
      </c>
      <c r="G136" s="10" t="s">
        <v>225</v>
      </c>
    </row>
    <row r="137" spans="1:7" x14ac:dyDescent="0.3">
      <c r="A137" s="5" t="s">
        <v>215</v>
      </c>
      <c r="B137" s="6" t="s">
        <v>214</v>
      </c>
      <c r="C137" s="7" t="s">
        <v>33</v>
      </c>
      <c r="D137" s="23">
        <v>46018</v>
      </c>
      <c r="E137" s="8">
        <v>112547.5</v>
      </c>
      <c r="F137" s="9">
        <v>132806</v>
      </c>
      <c r="G137" s="10" t="s">
        <v>225</v>
      </c>
    </row>
    <row r="138" spans="1:7" x14ac:dyDescent="0.3">
      <c r="A138" s="5" t="s">
        <v>143</v>
      </c>
      <c r="B138" s="6" t="s">
        <v>190</v>
      </c>
      <c r="C138" s="7" t="s">
        <v>150</v>
      </c>
      <c r="D138" s="23">
        <v>46018</v>
      </c>
      <c r="E138" s="8">
        <v>33994.400000000001</v>
      </c>
      <c r="F138" s="9">
        <v>40113</v>
      </c>
      <c r="G138" s="10" t="s">
        <v>225</v>
      </c>
    </row>
    <row r="139" spans="1:7" x14ac:dyDescent="0.3">
      <c r="A139" s="5" t="s">
        <v>100</v>
      </c>
      <c r="B139" s="6" t="s">
        <v>216</v>
      </c>
      <c r="C139" s="7" t="s">
        <v>102</v>
      </c>
      <c r="D139" s="23">
        <v>46019</v>
      </c>
      <c r="E139" s="8">
        <v>7860</v>
      </c>
      <c r="F139" s="9">
        <v>9275</v>
      </c>
      <c r="G139" s="10" t="s">
        <v>225</v>
      </c>
    </row>
    <row r="140" spans="1:7" x14ac:dyDescent="0.3">
      <c r="A140" s="5" t="s">
        <v>71</v>
      </c>
      <c r="B140" s="6" t="s">
        <v>217</v>
      </c>
      <c r="C140" s="7" t="s">
        <v>218</v>
      </c>
      <c r="D140" s="23">
        <v>46019</v>
      </c>
      <c r="E140" s="8">
        <v>37169.440000000002</v>
      </c>
      <c r="F140" s="9">
        <v>43860</v>
      </c>
      <c r="G140" s="10" t="s">
        <v>225</v>
      </c>
    </row>
    <row r="141" spans="1:7" x14ac:dyDescent="0.3">
      <c r="A141" s="5" t="s">
        <v>78</v>
      </c>
      <c r="B141" s="6" t="s">
        <v>79</v>
      </c>
      <c r="C141" s="7" t="s">
        <v>80</v>
      </c>
      <c r="D141" s="23">
        <v>46021</v>
      </c>
      <c r="E141" s="8">
        <v>99725.2</v>
      </c>
      <c r="F141" s="9">
        <v>117675.74</v>
      </c>
      <c r="G141" s="10" t="s">
        <v>225</v>
      </c>
    </row>
    <row r="142" spans="1:7" x14ac:dyDescent="0.3">
      <c r="A142" s="5" t="s">
        <v>130</v>
      </c>
      <c r="B142" s="6" t="s">
        <v>209</v>
      </c>
      <c r="C142" s="7" t="s">
        <v>132</v>
      </c>
      <c r="D142" s="23">
        <v>46021</v>
      </c>
      <c r="E142" s="8">
        <v>38500.800000000003</v>
      </c>
      <c r="F142" s="9">
        <v>45431</v>
      </c>
      <c r="G142" s="10" t="s">
        <v>225</v>
      </c>
    </row>
    <row r="143" spans="1:7" x14ac:dyDescent="0.3">
      <c r="A143" s="5" t="s">
        <v>116</v>
      </c>
      <c r="B143" s="6" t="s">
        <v>117</v>
      </c>
      <c r="C143" s="7" t="s">
        <v>122</v>
      </c>
      <c r="D143" s="23">
        <v>46021</v>
      </c>
      <c r="E143" s="8">
        <v>4000</v>
      </c>
      <c r="F143" s="9">
        <v>4720</v>
      </c>
      <c r="G143" s="10" t="s">
        <v>225</v>
      </c>
    </row>
    <row r="144" spans="1:7" x14ac:dyDescent="0.3">
      <c r="A144" s="5" t="s">
        <v>5</v>
      </c>
      <c r="B144" s="6" t="s">
        <v>6</v>
      </c>
      <c r="C144" s="7" t="s">
        <v>17</v>
      </c>
      <c r="D144" s="23">
        <v>46021</v>
      </c>
      <c r="E144" s="8">
        <v>40673.800000000003</v>
      </c>
      <c r="F144" s="9">
        <v>47995</v>
      </c>
      <c r="G144" s="10" t="s">
        <v>225</v>
      </c>
    </row>
    <row r="145" spans="1:7" x14ac:dyDescent="0.3">
      <c r="A145" s="5" t="s">
        <v>221</v>
      </c>
      <c r="B145" s="6" t="s">
        <v>219</v>
      </c>
      <c r="C145" s="7" t="s">
        <v>220</v>
      </c>
      <c r="D145" s="23">
        <v>46021</v>
      </c>
      <c r="E145" s="8">
        <v>855.93</v>
      </c>
      <c r="F145" s="9">
        <v>1010</v>
      </c>
      <c r="G145" s="10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85FD-E8AC-454C-84B5-1EF7C1C0BEA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A605-F779-4DAF-8040-14D1762B269F}">
  <dimension ref="A2:J96"/>
  <sheetViews>
    <sheetView workbookViewId="0">
      <selection activeCell="A3" sqref="A3"/>
    </sheetView>
  </sheetViews>
  <sheetFormatPr defaultRowHeight="14.4" x14ac:dyDescent="0.3"/>
  <cols>
    <col min="1" max="1" width="21.6640625" bestFit="1" customWidth="1"/>
    <col min="2" max="2" width="20" customWidth="1"/>
    <col min="3" max="3" width="21.6640625" bestFit="1" customWidth="1"/>
    <col min="4" max="6" width="11" bestFit="1" customWidth="1"/>
    <col min="7" max="7" width="26.21875" bestFit="1" customWidth="1"/>
  </cols>
  <sheetData>
    <row r="2" spans="1:10" x14ac:dyDescent="0.3">
      <c r="A2" s="12"/>
    </row>
    <row r="3" spans="1:10" x14ac:dyDescent="0.3">
      <c r="A3" s="11" t="s">
        <v>226</v>
      </c>
      <c r="B3" s="10"/>
      <c r="D3" s="11" t="s">
        <v>223</v>
      </c>
    </row>
    <row r="4" spans="1:10" x14ac:dyDescent="0.3">
      <c r="A4" s="11" t="s">
        <v>0</v>
      </c>
      <c r="B4" s="11" t="s">
        <v>2</v>
      </c>
      <c r="C4" s="11" t="s">
        <v>1</v>
      </c>
      <c r="D4" s="12" t="s">
        <v>224</v>
      </c>
      <c r="E4" s="13" t="s">
        <v>225</v>
      </c>
      <c r="F4" t="s">
        <v>222</v>
      </c>
      <c r="H4" t="s">
        <v>227</v>
      </c>
    </row>
    <row r="5" spans="1:10" x14ac:dyDescent="0.3">
      <c r="A5" t="s">
        <v>78</v>
      </c>
      <c r="B5" t="s">
        <v>80</v>
      </c>
      <c r="D5" s="16">
        <v>117675.74</v>
      </c>
      <c r="E5" s="16">
        <v>117675.74</v>
      </c>
      <c r="F5" s="16">
        <v>235351.48</v>
      </c>
      <c r="H5">
        <f>D5-E5</f>
        <v>0</v>
      </c>
      <c r="J5">
        <f>GETPIVOTDATA("Gross Total",$A$3,"GSTIN of supplier","05AAACP6474E1ZJ","Invoice number","UT600S2526103313","SOURCE","Gst data")-GETPIVOTDATA("Gross Total",$A$3,"GSTIN of supplier","05AAACP6474E1ZJ","Invoice number","UT600S2526103313","SOURCE","Tally Data")</f>
        <v>0</v>
      </c>
    </row>
    <row r="6" spans="1:10" x14ac:dyDescent="0.3">
      <c r="A6" t="s">
        <v>74</v>
      </c>
      <c r="B6" t="s">
        <v>76</v>
      </c>
      <c r="D6" s="16">
        <v>58784</v>
      </c>
      <c r="E6" s="16"/>
      <c r="F6" s="16">
        <v>58784</v>
      </c>
      <c r="H6">
        <f t="shared" ref="H6:H69" si="0">D6-E6</f>
        <v>58784</v>
      </c>
      <c r="J6">
        <f t="shared" ref="J6:J14" si="1">GETPIVOTDATA("Gross Total",$A$3,"GSTIN of supplier","05AAACP6474E1ZJ","Invoice number","UT600S2526103313","SOURCE","Gst data")-GETPIVOTDATA("Gross Total",$A$3,"GSTIN of supplier","05AAACP6474E1ZJ","Invoice number","UT600S2526103313","SOURCE","Tally Data")</f>
        <v>0</v>
      </c>
    </row>
    <row r="7" spans="1:10" x14ac:dyDescent="0.3">
      <c r="A7" t="s">
        <v>143</v>
      </c>
      <c r="B7" t="s">
        <v>145</v>
      </c>
      <c r="D7" s="16">
        <v>21515.759999999998</v>
      </c>
      <c r="E7" s="16">
        <v>21516</v>
      </c>
      <c r="F7" s="16">
        <v>43031.759999999995</v>
      </c>
      <c r="H7">
        <f t="shared" si="0"/>
        <v>-0.24000000000160071</v>
      </c>
      <c r="J7">
        <f t="shared" si="1"/>
        <v>0</v>
      </c>
    </row>
    <row r="8" spans="1:10" x14ac:dyDescent="0.3">
      <c r="B8" t="s">
        <v>146</v>
      </c>
      <c r="D8" s="16">
        <v>40959.68</v>
      </c>
      <c r="E8" s="16">
        <v>40960</v>
      </c>
      <c r="F8" s="16">
        <v>81919.679999999993</v>
      </c>
      <c r="H8">
        <f t="shared" si="0"/>
        <v>-0.31999999999970896</v>
      </c>
      <c r="J8">
        <f t="shared" si="1"/>
        <v>0</v>
      </c>
    </row>
    <row r="9" spans="1:10" x14ac:dyDescent="0.3">
      <c r="B9" t="s">
        <v>148</v>
      </c>
      <c r="D9" s="16">
        <v>25014.42</v>
      </c>
      <c r="E9" s="16">
        <v>25014</v>
      </c>
      <c r="F9" s="16">
        <v>50028.42</v>
      </c>
      <c r="H9">
        <f t="shared" si="0"/>
        <v>0.41999999999825377</v>
      </c>
      <c r="J9">
        <f t="shared" si="1"/>
        <v>0</v>
      </c>
    </row>
    <row r="10" spans="1:10" x14ac:dyDescent="0.3">
      <c r="B10" t="s">
        <v>149</v>
      </c>
      <c r="D10" s="16">
        <v>26811.5</v>
      </c>
      <c r="E10" s="16">
        <v>26812</v>
      </c>
      <c r="F10" s="16">
        <v>53623.5</v>
      </c>
      <c r="H10">
        <f t="shared" si="0"/>
        <v>-0.5</v>
      </c>
      <c r="J10">
        <f t="shared" si="1"/>
        <v>0</v>
      </c>
    </row>
    <row r="11" spans="1:10" x14ac:dyDescent="0.3">
      <c r="B11" t="s">
        <v>150</v>
      </c>
      <c r="D11" s="16">
        <v>40113.4</v>
      </c>
      <c r="E11" s="16">
        <v>40113</v>
      </c>
      <c r="F11" s="16">
        <v>80226.399999999994</v>
      </c>
      <c r="H11">
        <f t="shared" si="0"/>
        <v>0.40000000000145519</v>
      </c>
      <c r="J11">
        <f t="shared" si="1"/>
        <v>0</v>
      </c>
    </row>
    <row r="12" spans="1:10" x14ac:dyDescent="0.3">
      <c r="A12" t="s">
        <v>90</v>
      </c>
      <c r="B12" t="s">
        <v>92</v>
      </c>
      <c r="C12" t="s">
        <v>91</v>
      </c>
      <c r="D12" s="16">
        <v>15400</v>
      </c>
      <c r="E12" s="16"/>
      <c r="F12" s="16">
        <v>15400</v>
      </c>
      <c r="H12">
        <f t="shared" si="0"/>
        <v>15400</v>
      </c>
      <c r="J12">
        <f t="shared" si="1"/>
        <v>0</v>
      </c>
    </row>
    <row r="13" spans="1:10" x14ac:dyDescent="0.3">
      <c r="B13" t="s">
        <v>93</v>
      </c>
      <c r="D13" s="16">
        <v>19800</v>
      </c>
      <c r="E13" s="16">
        <v>19800</v>
      </c>
      <c r="F13" s="16">
        <v>39600</v>
      </c>
      <c r="H13">
        <f t="shared" si="0"/>
        <v>0</v>
      </c>
      <c r="J13">
        <f t="shared" si="1"/>
        <v>0</v>
      </c>
    </row>
    <row r="14" spans="1:10" x14ac:dyDescent="0.3">
      <c r="B14" t="s">
        <v>94</v>
      </c>
      <c r="D14" s="16">
        <v>4400</v>
      </c>
      <c r="E14" s="16">
        <v>4400</v>
      </c>
      <c r="F14" s="16">
        <v>8800</v>
      </c>
      <c r="H14">
        <f t="shared" si="0"/>
        <v>0</v>
      </c>
      <c r="J14">
        <f t="shared" si="1"/>
        <v>0</v>
      </c>
    </row>
    <row r="15" spans="1:10" x14ac:dyDescent="0.3">
      <c r="A15" t="s">
        <v>167</v>
      </c>
      <c r="B15" t="s">
        <v>169</v>
      </c>
      <c r="D15" s="16">
        <v>9200</v>
      </c>
      <c r="E15" s="16">
        <v>9200</v>
      </c>
      <c r="F15" s="16">
        <v>18400</v>
      </c>
      <c r="H15">
        <f t="shared" si="0"/>
        <v>0</v>
      </c>
    </row>
    <row r="16" spans="1:10" x14ac:dyDescent="0.3">
      <c r="A16" t="s">
        <v>100</v>
      </c>
      <c r="B16" t="s">
        <v>102</v>
      </c>
      <c r="D16" s="16">
        <v>9275</v>
      </c>
      <c r="E16" s="16">
        <v>9275</v>
      </c>
      <c r="F16" s="16">
        <v>18550</v>
      </c>
      <c r="H16">
        <f t="shared" si="0"/>
        <v>0</v>
      </c>
    </row>
    <row r="17" spans="1:8" x14ac:dyDescent="0.3">
      <c r="A17" t="s">
        <v>170</v>
      </c>
      <c r="B17" t="s">
        <v>172</v>
      </c>
      <c r="D17" s="16">
        <v>32555</v>
      </c>
      <c r="E17" s="16">
        <v>32555</v>
      </c>
      <c r="F17" s="16">
        <v>65110</v>
      </c>
      <c r="H17">
        <f t="shared" si="0"/>
        <v>0</v>
      </c>
    </row>
    <row r="18" spans="1:8" x14ac:dyDescent="0.3">
      <c r="A18" t="s">
        <v>106</v>
      </c>
      <c r="B18" t="s">
        <v>108</v>
      </c>
      <c r="D18" s="16">
        <v>5250</v>
      </c>
      <c r="E18" s="16"/>
      <c r="F18" s="16">
        <v>5250</v>
      </c>
      <c r="H18">
        <f t="shared" si="0"/>
        <v>5250</v>
      </c>
    </row>
    <row r="19" spans="1:8" x14ac:dyDescent="0.3">
      <c r="B19" t="s">
        <v>197</v>
      </c>
      <c r="D19" s="16"/>
      <c r="E19" s="16">
        <v>6210</v>
      </c>
      <c r="F19" s="16">
        <v>6210</v>
      </c>
      <c r="H19">
        <f t="shared" si="0"/>
        <v>-6210</v>
      </c>
    </row>
    <row r="20" spans="1:8" x14ac:dyDescent="0.3">
      <c r="B20" t="s">
        <v>196</v>
      </c>
      <c r="D20" s="16"/>
      <c r="E20" s="16">
        <v>5250</v>
      </c>
      <c r="F20" s="16">
        <v>5250</v>
      </c>
      <c r="H20">
        <f t="shared" si="0"/>
        <v>-5250</v>
      </c>
    </row>
    <row r="21" spans="1:8" x14ac:dyDescent="0.3">
      <c r="A21" t="s">
        <v>177</v>
      </c>
      <c r="B21" t="s">
        <v>205</v>
      </c>
      <c r="D21" s="16"/>
      <c r="E21" s="16">
        <v>400</v>
      </c>
      <c r="F21" s="16">
        <v>400</v>
      </c>
      <c r="H21">
        <f t="shared" si="0"/>
        <v>-400</v>
      </c>
    </row>
    <row r="22" spans="1:8" x14ac:dyDescent="0.3">
      <c r="B22" t="s">
        <v>179</v>
      </c>
      <c r="D22" s="16">
        <v>49600</v>
      </c>
      <c r="E22" s="16">
        <v>49600</v>
      </c>
      <c r="F22" s="16">
        <v>99200</v>
      </c>
      <c r="H22">
        <f t="shared" si="0"/>
        <v>0</v>
      </c>
    </row>
    <row r="23" spans="1:8" x14ac:dyDescent="0.3">
      <c r="B23" t="s">
        <v>180</v>
      </c>
      <c r="D23" s="16">
        <v>6510</v>
      </c>
      <c r="E23" s="16">
        <v>6510</v>
      </c>
      <c r="F23" s="16">
        <v>13020</v>
      </c>
      <c r="H23">
        <f t="shared" si="0"/>
        <v>0</v>
      </c>
    </row>
    <row r="24" spans="1:8" x14ac:dyDescent="0.3">
      <c r="A24" t="s">
        <v>5</v>
      </c>
      <c r="B24" t="s">
        <v>194</v>
      </c>
      <c r="D24" s="16"/>
      <c r="E24" s="16">
        <v>6020</v>
      </c>
      <c r="F24" s="16">
        <v>6020</v>
      </c>
      <c r="H24">
        <f t="shared" si="0"/>
        <v>-6020</v>
      </c>
    </row>
    <row r="25" spans="1:8" x14ac:dyDescent="0.3">
      <c r="B25" t="s">
        <v>7</v>
      </c>
      <c r="D25" s="16">
        <v>31755</v>
      </c>
      <c r="E25" s="16">
        <v>31755</v>
      </c>
      <c r="F25" s="16">
        <v>63510</v>
      </c>
      <c r="H25">
        <f t="shared" si="0"/>
        <v>0</v>
      </c>
    </row>
    <row r="26" spans="1:8" x14ac:dyDescent="0.3">
      <c r="B26" t="s">
        <v>9</v>
      </c>
      <c r="D26" s="16">
        <v>6020</v>
      </c>
      <c r="E26" s="16"/>
      <c r="F26" s="16">
        <v>6020</v>
      </c>
      <c r="H26">
        <f t="shared" si="0"/>
        <v>6020</v>
      </c>
    </row>
    <row r="27" spans="1:8" x14ac:dyDescent="0.3">
      <c r="B27" t="s">
        <v>11</v>
      </c>
      <c r="D27" s="16">
        <v>36018</v>
      </c>
      <c r="E27" s="16">
        <v>36018</v>
      </c>
      <c r="F27" s="16">
        <v>72036</v>
      </c>
      <c r="H27">
        <f t="shared" si="0"/>
        <v>0</v>
      </c>
    </row>
    <row r="28" spans="1:8" x14ac:dyDescent="0.3">
      <c r="B28" t="s">
        <v>13</v>
      </c>
      <c r="D28" s="16">
        <v>20999</v>
      </c>
      <c r="E28" s="16">
        <v>20999</v>
      </c>
      <c r="F28" s="16">
        <v>41998</v>
      </c>
      <c r="H28">
        <f t="shared" si="0"/>
        <v>0</v>
      </c>
    </row>
    <row r="29" spans="1:8" x14ac:dyDescent="0.3">
      <c r="B29" t="s">
        <v>15</v>
      </c>
      <c r="D29" s="16">
        <v>4490</v>
      </c>
      <c r="E29" s="16">
        <v>4490</v>
      </c>
      <c r="F29" s="16">
        <v>8980</v>
      </c>
      <c r="H29">
        <f t="shared" si="0"/>
        <v>0</v>
      </c>
    </row>
    <row r="30" spans="1:8" x14ac:dyDescent="0.3">
      <c r="B30" t="s">
        <v>17</v>
      </c>
      <c r="D30" s="16">
        <v>47995</v>
      </c>
      <c r="E30" s="16">
        <v>47995</v>
      </c>
      <c r="F30" s="16">
        <v>95990</v>
      </c>
      <c r="H30">
        <f t="shared" si="0"/>
        <v>0</v>
      </c>
    </row>
    <row r="31" spans="1:8" x14ac:dyDescent="0.3">
      <c r="A31" t="s">
        <v>123</v>
      </c>
      <c r="B31" t="s">
        <v>125</v>
      </c>
      <c r="D31" s="16">
        <v>7250</v>
      </c>
      <c r="E31" s="16">
        <v>7250</v>
      </c>
      <c r="F31" s="16">
        <v>14500</v>
      </c>
      <c r="H31">
        <f t="shared" si="0"/>
        <v>0</v>
      </c>
    </row>
    <row r="32" spans="1:8" x14ac:dyDescent="0.3">
      <c r="A32" t="s">
        <v>112</v>
      </c>
      <c r="B32" t="s">
        <v>114</v>
      </c>
      <c r="D32" s="16">
        <v>70326</v>
      </c>
      <c r="E32" s="16">
        <v>70326</v>
      </c>
      <c r="F32" s="16">
        <v>140652</v>
      </c>
      <c r="H32">
        <f t="shared" si="0"/>
        <v>0</v>
      </c>
    </row>
    <row r="33" spans="1:8" x14ac:dyDescent="0.3">
      <c r="B33" t="s">
        <v>115</v>
      </c>
      <c r="D33" s="16">
        <v>36633</v>
      </c>
      <c r="E33" s="16">
        <v>36633</v>
      </c>
      <c r="F33" s="16">
        <v>73266</v>
      </c>
      <c r="H33">
        <f t="shared" si="0"/>
        <v>0</v>
      </c>
    </row>
    <row r="34" spans="1:8" x14ac:dyDescent="0.3">
      <c r="A34" t="s">
        <v>130</v>
      </c>
      <c r="D34" s="16">
        <v>88481</v>
      </c>
      <c r="E34" s="16">
        <v>88481</v>
      </c>
      <c r="F34" s="16">
        <v>176962</v>
      </c>
      <c r="H34">
        <f t="shared" si="0"/>
        <v>0</v>
      </c>
    </row>
    <row r="35" spans="1:8" x14ac:dyDescent="0.3">
      <c r="A35" t="s">
        <v>96</v>
      </c>
      <c r="B35" t="s">
        <v>98</v>
      </c>
      <c r="D35" s="16">
        <v>12400</v>
      </c>
      <c r="E35" s="16"/>
      <c r="F35" s="16">
        <v>12400</v>
      </c>
      <c r="H35">
        <f t="shared" si="0"/>
        <v>12400</v>
      </c>
    </row>
    <row r="36" spans="1:8" x14ac:dyDescent="0.3">
      <c r="A36" t="s">
        <v>116</v>
      </c>
      <c r="B36" t="s">
        <v>118</v>
      </c>
      <c r="D36" s="16">
        <v>36050</v>
      </c>
      <c r="E36" s="16"/>
      <c r="F36" s="16">
        <v>36050</v>
      </c>
      <c r="H36">
        <f t="shared" si="0"/>
        <v>36050</v>
      </c>
    </row>
    <row r="37" spans="1:8" x14ac:dyDescent="0.3">
      <c r="B37" t="s">
        <v>120</v>
      </c>
      <c r="D37" s="16">
        <v>6720</v>
      </c>
      <c r="E37" s="16"/>
      <c r="F37" s="16">
        <v>6720</v>
      </c>
      <c r="H37">
        <f t="shared" si="0"/>
        <v>6720</v>
      </c>
    </row>
    <row r="38" spans="1:8" x14ac:dyDescent="0.3">
      <c r="B38" t="s">
        <v>122</v>
      </c>
      <c r="D38" s="16">
        <v>4720</v>
      </c>
      <c r="E38" s="16">
        <v>4720</v>
      </c>
      <c r="F38" s="16">
        <v>9440</v>
      </c>
      <c r="H38">
        <f t="shared" si="0"/>
        <v>0</v>
      </c>
    </row>
    <row r="39" spans="1:8" x14ac:dyDescent="0.3">
      <c r="A39" t="s">
        <v>35</v>
      </c>
      <c r="D39" s="16">
        <v>390950.60000000003</v>
      </c>
      <c r="E39" s="16">
        <v>147937</v>
      </c>
      <c r="F39" s="16">
        <v>538887.60000000009</v>
      </c>
      <c r="H39">
        <f t="shared" si="0"/>
        <v>243013.60000000003</v>
      </c>
    </row>
    <row r="40" spans="1:8" x14ac:dyDescent="0.3">
      <c r="A40" t="s">
        <v>19</v>
      </c>
      <c r="B40" t="s">
        <v>21</v>
      </c>
      <c r="D40" s="16">
        <v>3999</v>
      </c>
      <c r="E40" s="16"/>
      <c r="F40" s="16">
        <v>3999</v>
      </c>
      <c r="H40">
        <f t="shared" si="0"/>
        <v>3999</v>
      </c>
    </row>
    <row r="41" spans="1:8" x14ac:dyDescent="0.3">
      <c r="B41" t="s">
        <v>23</v>
      </c>
      <c r="D41" s="16">
        <v>7998</v>
      </c>
      <c r="E41" s="16"/>
      <c r="F41" s="16">
        <v>7998</v>
      </c>
      <c r="H41">
        <f t="shared" si="0"/>
        <v>7998</v>
      </c>
    </row>
    <row r="42" spans="1:8" x14ac:dyDescent="0.3">
      <c r="B42" t="s">
        <v>25</v>
      </c>
      <c r="D42" s="16">
        <v>11996</v>
      </c>
      <c r="E42" s="16"/>
      <c r="F42" s="16">
        <v>11996</v>
      </c>
      <c r="H42">
        <f t="shared" si="0"/>
        <v>11996</v>
      </c>
    </row>
    <row r="43" spans="1:8" x14ac:dyDescent="0.3">
      <c r="A43" t="s">
        <v>31</v>
      </c>
      <c r="B43" t="s">
        <v>33</v>
      </c>
      <c r="D43" s="16">
        <v>132806</v>
      </c>
      <c r="E43" s="16"/>
      <c r="F43" s="16">
        <v>132806</v>
      </c>
      <c r="H43">
        <f t="shared" si="0"/>
        <v>132806</v>
      </c>
    </row>
    <row r="44" spans="1:8" x14ac:dyDescent="0.3">
      <c r="A44" t="s">
        <v>71</v>
      </c>
      <c r="B44" t="s">
        <v>218</v>
      </c>
      <c r="D44" s="16"/>
      <c r="E44" s="16">
        <v>43860</v>
      </c>
      <c r="F44" s="16">
        <v>43860</v>
      </c>
      <c r="H44">
        <f t="shared" si="0"/>
        <v>-43860</v>
      </c>
    </row>
    <row r="45" spans="1:8" x14ac:dyDescent="0.3">
      <c r="B45" t="s">
        <v>73</v>
      </c>
      <c r="D45" s="16">
        <v>43860</v>
      </c>
      <c r="E45" s="16"/>
      <c r="F45" s="16">
        <v>43860</v>
      </c>
      <c r="H45">
        <f t="shared" si="0"/>
        <v>43860</v>
      </c>
    </row>
    <row r="46" spans="1:8" x14ac:dyDescent="0.3">
      <c r="A46" t="s">
        <v>84</v>
      </c>
      <c r="B46" t="s">
        <v>86</v>
      </c>
      <c r="D46" s="16">
        <v>81200</v>
      </c>
      <c r="E46" s="16"/>
      <c r="F46" s="16">
        <v>81200</v>
      </c>
      <c r="H46">
        <f t="shared" si="0"/>
        <v>81200</v>
      </c>
    </row>
    <row r="47" spans="1:8" x14ac:dyDescent="0.3">
      <c r="B47" t="s">
        <v>87</v>
      </c>
      <c r="D47" s="16">
        <v>70247</v>
      </c>
      <c r="E47" s="16"/>
      <c r="F47" s="16">
        <v>70247</v>
      </c>
      <c r="H47">
        <f t="shared" si="0"/>
        <v>70247</v>
      </c>
    </row>
    <row r="48" spans="1:8" x14ac:dyDescent="0.3">
      <c r="B48" t="s">
        <v>88</v>
      </c>
      <c r="D48" s="16">
        <v>46500</v>
      </c>
      <c r="E48" s="16"/>
      <c r="F48" s="16">
        <v>46500</v>
      </c>
      <c r="H48">
        <f t="shared" si="0"/>
        <v>46500</v>
      </c>
    </row>
    <row r="49" spans="1:8" x14ac:dyDescent="0.3">
      <c r="A49" t="s">
        <v>215</v>
      </c>
      <c r="B49" t="s">
        <v>33</v>
      </c>
      <c r="D49" s="16"/>
      <c r="E49" s="16">
        <v>132806</v>
      </c>
      <c r="F49" s="16">
        <v>132806</v>
      </c>
      <c r="H49">
        <f t="shared" si="0"/>
        <v>-132806</v>
      </c>
    </row>
    <row r="50" spans="1:8" x14ac:dyDescent="0.3">
      <c r="A50" t="s">
        <v>151</v>
      </c>
      <c r="B50" t="s">
        <v>153</v>
      </c>
      <c r="D50" s="16">
        <v>7349</v>
      </c>
      <c r="E50" s="16">
        <v>7349</v>
      </c>
      <c r="F50" s="16">
        <v>14698</v>
      </c>
      <c r="H50">
        <f t="shared" si="0"/>
        <v>0</v>
      </c>
    </row>
    <row r="51" spans="1:8" x14ac:dyDescent="0.3">
      <c r="A51" t="s">
        <v>103</v>
      </c>
      <c r="B51" t="s">
        <v>105</v>
      </c>
      <c r="D51" s="16">
        <v>6099</v>
      </c>
      <c r="E51" s="16">
        <v>6099</v>
      </c>
      <c r="F51" s="16">
        <v>12198</v>
      </c>
      <c r="H51">
        <f t="shared" si="0"/>
        <v>0</v>
      </c>
    </row>
    <row r="52" spans="1:8" x14ac:dyDescent="0.3">
      <c r="A52" t="s">
        <v>164</v>
      </c>
      <c r="B52" t="s">
        <v>166</v>
      </c>
      <c r="D52" s="16">
        <v>16000</v>
      </c>
      <c r="E52" s="16">
        <v>16000</v>
      </c>
      <c r="F52" s="16">
        <v>32000</v>
      </c>
      <c r="H52">
        <f t="shared" si="0"/>
        <v>0</v>
      </c>
    </row>
    <row r="53" spans="1:8" x14ac:dyDescent="0.3">
      <c r="A53" t="s">
        <v>181</v>
      </c>
      <c r="B53" t="s">
        <v>183</v>
      </c>
      <c r="D53" s="16">
        <v>22113</v>
      </c>
      <c r="E53" s="16">
        <v>22113</v>
      </c>
      <c r="F53" s="16">
        <v>44226</v>
      </c>
      <c r="H53">
        <f t="shared" si="0"/>
        <v>0</v>
      </c>
    </row>
    <row r="54" spans="1:8" x14ac:dyDescent="0.3">
      <c r="A54" t="s">
        <v>154</v>
      </c>
      <c r="B54" t="s">
        <v>156</v>
      </c>
      <c r="D54" s="16">
        <v>49200</v>
      </c>
      <c r="E54" s="16">
        <v>49200</v>
      </c>
      <c r="F54" s="16">
        <v>98400</v>
      </c>
      <c r="H54">
        <f t="shared" si="0"/>
        <v>0</v>
      </c>
    </row>
    <row r="55" spans="1:8" x14ac:dyDescent="0.3">
      <c r="B55" t="s">
        <v>157</v>
      </c>
      <c r="D55" s="16">
        <v>49600</v>
      </c>
      <c r="E55" s="16">
        <v>49600</v>
      </c>
      <c r="F55" s="16">
        <v>99200</v>
      </c>
      <c r="H55">
        <f t="shared" si="0"/>
        <v>0</v>
      </c>
    </row>
    <row r="56" spans="1:8" x14ac:dyDescent="0.3">
      <c r="B56" t="s">
        <v>158</v>
      </c>
      <c r="D56" s="16">
        <v>48600</v>
      </c>
      <c r="E56" s="16">
        <v>48600</v>
      </c>
      <c r="F56" s="16">
        <v>97200</v>
      </c>
      <c r="H56">
        <f t="shared" si="0"/>
        <v>0</v>
      </c>
    </row>
    <row r="57" spans="1:8" x14ac:dyDescent="0.3">
      <c r="B57" t="s">
        <v>159</v>
      </c>
      <c r="D57" s="16">
        <v>49200</v>
      </c>
      <c r="E57" s="16">
        <v>49200</v>
      </c>
      <c r="F57" s="16">
        <v>98400</v>
      </c>
      <c r="H57">
        <f t="shared" si="0"/>
        <v>0</v>
      </c>
    </row>
    <row r="58" spans="1:8" x14ac:dyDescent="0.3">
      <c r="B58" t="s">
        <v>160</v>
      </c>
      <c r="D58" s="16">
        <v>49540</v>
      </c>
      <c r="E58" s="16">
        <v>49540</v>
      </c>
      <c r="F58" s="16">
        <v>99080</v>
      </c>
      <c r="H58">
        <f t="shared" si="0"/>
        <v>0</v>
      </c>
    </row>
    <row r="59" spans="1:8" x14ac:dyDescent="0.3">
      <c r="B59" t="s">
        <v>162</v>
      </c>
      <c r="D59" s="16">
        <v>49500</v>
      </c>
      <c r="E59" s="16">
        <v>49500</v>
      </c>
      <c r="F59" s="16">
        <v>99000</v>
      </c>
      <c r="H59">
        <f t="shared" si="0"/>
        <v>0</v>
      </c>
    </row>
    <row r="60" spans="1:8" x14ac:dyDescent="0.3">
      <c r="B60" t="s">
        <v>163</v>
      </c>
      <c r="C60" t="s">
        <v>155</v>
      </c>
      <c r="D60" s="16">
        <v>48600</v>
      </c>
      <c r="E60" s="16"/>
      <c r="F60" s="16">
        <v>48600</v>
      </c>
      <c r="H60">
        <f t="shared" si="0"/>
        <v>48600</v>
      </c>
    </row>
    <row r="61" spans="1:8" x14ac:dyDescent="0.3">
      <c r="B61" t="s">
        <v>211</v>
      </c>
      <c r="D61" s="16"/>
      <c r="E61" s="16">
        <v>48600</v>
      </c>
      <c r="F61" s="16">
        <v>48600</v>
      </c>
      <c r="H61">
        <f t="shared" si="0"/>
        <v>-48600</v>
      </c>
    </row>
    <row r="62" spans="1:8" x14ac:dyDescent="0.3">
      <c r="A62" t="s">
        <v>221</v>
      </c>
      <c r="B62" t="s">
        <v>220</v>
      </c>
      <c r="D62" s="16"/>
      <c r="E62" s="16">
        <v>1010</v>
      </c>
      <c r="F62" s="16">
        <v>1010</v>
      </c>
      <c r="H62">
        <f t="shared" si="0"/>
        <v>-1010</v>
      </c>
    </row>
    <row r="63" spans="1:8" x14ac:dyDescent="0.3">
      <c r="A63" t="s">
        <v>27</v>
      </c>
      <c r="B63" t="s">
        <v>29</v>
      </c>
      <c r="D63" s="16">
        <v>9750</v>
      </c>
      <c r="E63" s="16">
        <v>9750</v>
      </c>
      <c r="F63" s="16">
        <v>19500</v>
      </c>
      <c r="H63">
        <f t="shared" si="0"/>
        <v>0</v>
      </c>
    </row>
    <row r="64" spans="1:8" x14ac:dyDescent="0.3">
      <c r="A64" t="s">
        <v>173</v>
      </c>
      <c r="B64" t="s">
        <v>175</v>
      </c>
      <c r="D64" s="16">
        <v>4439</v>
      </c>
      <c r="E64" s="16">
        <v>4439</v>
      </c>
      <c r="F64" s="16">
        <v>8878</v>
      </c>
      <c r="H64">
        <f t="shared" si="0"/>
        <v>0</v>
      </c>
    </row>
    <row r="65" spans="1:8" x14ac:dyDescent="0.3">
      <c r="B65" t="s">
        <v>176</v>
      </c>
      <c r="D65" s="16">
        <v>44632</v>
      </c>
      <c r="E65" s="16">
        <v>44632</v>
      </c>
      <c r="F65" s="16">
        <v>89264</v>
      </c>
      <c r="H65">
        <f t="shared" si="0"/>
        <v>0</v>
      </c>
    </row>
    <row r="66" spans="1:8" x14ac:dyDescent="0.3">
      <c r="A66" t="s">
        <v>140</v>
      </c>
      <c r="B66" t="s">
        <v>142</v>
      </c>
      <c r="D66" s="16">
        <v>36299</v>
      </c>
      <c r="E66" s="16">
        <v>36299</v>
      </c>
      <c r="F66" s="16">
        <v>72598</v>
      </c>
      <c r="H66">
        <f t="shared" si="0"/>
        <v>0</v>
      </c>
    </row>
    <row r="67" spans="1:8" x14ac:dyDescent="0.3">
      <c r="A67" t="s">
        <v>137</v>
      </c>
      <c r="B67" t="s">
        <v>139</v>
      </c>
      <c r="D67" s="16">
        <v>27056</v>
      </c>
      <c r="E67" s="16">
        <v>27056</v>
      </c>
      <c r="F67" s="16">
        <v>54112</v>
      </c>
      <c r="H67">
        <f t="shared" si="0"/>
        <v>0</v>
      </c>
    </row>
    <row r="68" spans="1:8" x14ac:dyDescent="0.3">
      <c r="A68" t="s">
        <v>184</v>
      </c>
      <c r="B68" t="s">
        <v>186</v>
      </c>
      <c r="D68" s="16">
        <v>8280.02</v>
      </c>
      <c r="E68" s="16">
        <v>8280</v>
      </c>
      <c r="F68" s="16">
        <v>16560.02</v>
      </c>
      <c r="H68">
        <f t="shared" si="0"/>
        <v>2.0000000000436557E-2</v>
      </c>
    </row>
    <row r="69" spans="1:8" x14ac:dyDescent="0.3">
      <c r="A69" t="s">
        <v>134</v>
      </c>
      <c r="B69" t="s">
        <v>136</v>
      </c>
      <c r="D69" s="16">
        <v>14308</v>
      </c>
      <c r="E69" s="16"/>
      <c r="F69" s="16">
        <v>14308</v>
      </c>
      <c r="H69">
        <f t="shared" si="0"/>
        <v>14308</v>
      </c>
    </row>
    <row r="70" spans="1:8" x14ac:dyDescent="0.3">
      <c r="B70" t="s">
        <v>213</v>
      </c>
      <c r="D70" s="16"/>
      <c r="E70" s="16">
        <v>14308</v>
      </c>
      <c r="F70" s="16">
        <v>14308</v>
      </c>
      <c r="H70">
        <f t="shared" ref="H70:H74" si="2">D70-E70</f>
        <v>-14308</v>
      </c>
    </row>
    <row r="71" spans="1:8" x14ac:dyDescent="0.3">
      <c r="A71" t="s">
        <v>81</v>
      </c>
      <c r="B71" t="s">
        <v>83</v>
      </c>
      <c r="D71" s="16">
        <v>5942</v>
      </c>
      <c r="E71" s="16">
        <v>5942</v>
      </c>
      <c r="F71" s="16">
        <v>11884</v>
      </c>
      <c r="H71">
        <f t="shared" si="2"/>
        <v>0</v>
      </c>
    </row>
    <row r="72" spans="1:8" x14ac:dyDescent="0.3">
      <c r="A72" t="s">
        <v>109</v>
      </c>
      <c r="B72" t="s">
        <v>111</v>
      </c>
      <c r="D72" s="16">
        <v>5880</v>
      </c>
      <c r="E72" s="16">
        <v>5880</v>
      </c>
      <c r="F72" s="16">
        <v>11760</v>
      </c>
      <c r="H72">
        <f t="shared" si="2"/>
        <v>0</v>
      </c>
    </row>
    <row r="73" spans="1:8" x14ac:dyDescent="0.3">
      <c r="A73" t="s">
        <v>126</v>
      </c>
      <c r="B73" t="s">
        <v>128</v>
      </c>
      <c r="D73" s="16">
        <v>48207</v>
      </c>
      <c r="E73" s="16">
        <v>48207</v>
      </c>
      <c r="F73" s="16">
        <v>96414</v>
      </c>
      <c r="H73">
        <f t="shared" si="2"/>
        <v>0</v>
      </c>
    </row>
    <row r="74" spans="1:8" x14ac:dyDescent="0.3">
      <c r="A74" t="s">
        <v>193</v>
      </c>
      <c r="B74" t="s">
        <v>76</v>
      </c>
      <c r="D74" s="16"/>
      <c r="E74" s="16">
        <v>58784</v>
      </c>
      <c r="F74" s="16">
        <v>58784</v>
      </c>
      <c r="H74">
        <f t="shared" si="2"/>
        <v>-58784</v>
      </c>
    </row>
    <row r="75" spans="1:8" x14ac:dyDescent="0.3">
      <c r="A75" t="s">
        <v>222</v>
      </c>
      <c r="D75" s="16">
        <v>2282872.12</v>
      </c>
      <c r="E75" s="16">
        <v>1754968.74</v>
      </c>
      <c r="F75" s="16">
        <v>4037840.86</v>
      </c>
    </row>
    <row r="96" spans="7:7" x14ac:dyDescent="0.3">
      <c r="G96">
        <f>GETPIVOTDATA("Gross Total",$A$3,"GSTIN of supplier","07AACCN3798F2Z7","Invoice number","DDN/00444/25-26","SOURCE","Gst data")-GETPIVOTDATA("Gross Total",$A$3,"GSTIN of supplier","07AACCN3798F2Z7","Invoice number","DDN/00444/25-26","SOURCE","Tally Data")</f>
        <v>-58784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C3B4-AA00-4490-B520-D43ECABDCA13}">
  <dimension ref="A1:G71"/>
  <sheetViews>
    <sheetView workbookViewId="0">
      <selection activeCell="E8" sqref="E8"/>
    </sheetView>
  </sheetViews>
  <sheetFormatPr defaultRowHeight="14.4" x14ac:dyDescent="0.3"/>
  <sheetData>
    <row r="1" spans="1:7" x14ac:dyDescent="0.3">
      <c r="A1">
        <v>117675.74</v>
      </c>
      <c r="B1">
        <v>117675.74</v>
      </c>
      <c r="C1">
        <v>235351.48</v>
      </c>
      <c r="E1">
        <f>A1-B1</f>
        <v>0</v>
      </c>
      <c r="G1">
        <f>A1-B1</f>
        <v>0</v>
      </c>
    </row>
    <row r="2" spans="1:7" x14ac:dyDescent="0.3">
      <c r="A2">
        <v>58784</v>
      </c>
      <c r="C2">
        <v>58784</v>
      </c>
      <c r="E2">
        <f t="shared" ref="E2:E65" si="0">A2-B2</f>
        <v>58784</v>
      </c>
      <c r="G2">
        <f t="shared" ref="G2:G3" si="1">A2-B2</f>
        <v>58784</v>
      </c>
    </row>
    <row r="3" spans="1:7" x14ac:dyDescent="0.3">
      <c r="A3">
        <v>21515.759999999998</v>
      </c>
      <c r="B3">
        <v>21516</v>
      </c>
      <c r="C3">
        <v>43031.759999999995</v>
      </c>
      <c r="E3">
        <f t="shared" si="0"/>
        <v>-0.24000000000160071</v>
      </c>
      <c r="G3">
        <f t="shared" si="1"/>
        <v>-0.24000000000160071</v>
      </c>
    </row>
    <row r="4" spans="1:7" x14ac:dyDescent="0.3">
      <c r="A4">
        <v>40959.68</v>
      </c>
      <c r="B4">
        <v>40960</v>
      </c>
      <c r="C4">
        <v>81919.679999999993</v>
      </c>
      <c r="E4">
        <f t="shared" si="0"/>
        <v>-0.31999999999970896</v>
      </c>
    </row>
    <row r="5" spans="1:7" x14ac:dyDescent="0.3">
      <c r="A5">
        <v>25014.42</v>
      </c>
      <c r="B5">
        <v>25014</v>
      </c>
      <c r="C5">
        <v>50028.42</v>
      </c>
      <c r="E5">
        <f t="shared" si="0"/>
        <v>0.41999999999825377</v>
      </c>
    </row>
    <row r="6" spans="1:7" x14ac:dyDescent="0.3">
      <c r="A6">
        <v>26811.5</v>
      </c>
      <c r="B6">
        <v>26812</v>
      </c>
      <c r="C6">
        <v>53623.5</v>
      </c>
      <c r="E6">
        <f t="shared" si="0"/>
        <v>-0.5</v>
      </c>
    </row>
    <row r="7" spans="1:7" x14ac:dyDescent="0.3">
      <c r="A7">
        <v>40113.4</v>
      </c>
      <c r="B7">
        <v>40113</v>
      </c>
      <c r="C7">
        <v>80226.399999999994</v>
      </c>
      <c r="E7">
        <f t="shared" si="0"/>
        <v>0.40000000000145519</v>
      </c>
    </row>
    <row r="8" spans="1:7" x14ac:dyDescent="0.3">
      <c r="A8">
        <v>15400</v>
      </c>
      <c r="C8">
        <v>15400</v>
      </c>
      <c r="E8">
        <f t="shared" si="0"/>
        <v>15400</v>
      </c>
    </row>
    <row r="9" spans="1:7" x14ac:dyDescent="0.3">
      <c r="A9">
        <v>19800</v>
      </c>
      <c r="B9">
        <v>19800</v>
      </c>
      <c r="C9">
        <v>39600</v>
      </c>
      <c r="E9">
        <f t="shared" si="0"/>
        <v>0</v>
      </c>
    </row>
    <row r="10" spans="1:7" x14ac:dyDescent="0.3">
      <c r="A10">
        <v>4400</v>
      </c>
      <c r="B10">
        <v>4400</v>
      </c>
      <c r="C10">
        <v>8800</v>
      </c>
      <c r="E10">
        <f t="shared" si="0"/>
        <v>0</v>
      </c>
    </row>
    <row r="11" spans="1:7" x14ac:dyDescent="0.3">
      <c r="A11">
        <v>9200</v>
      </c>
      <c r="B11">
        <v>9200</v>
      </c>
      <c r="C11">
        <v>18400</v>
      </c>
      <c r="E11">
        <f t="shared" si="0"/>
        <v>0</v>
      </c>
    </row>
    <row r="12" spans="1:7" x14ac:dyDescent="0.3">
      <c r="A12">
        <v>9275</v>
      </c>
      <c r="B12">
        <v>9275</v>
      </c>
      <c r="C12">
        <v>18550</v>
      </c>
      <c r="E12">
        <f t="shared" si="0"/>
        <v>0</v>
      </c>
    </row>
    <row r="13" spans="1:7" x14ac:dyDescent="0.3">
      <c r="A13">
        <v>32555</v>
      </c>
      <c r="B13">
        <v>32555</v>
      </c>
      <c r="C13">
        <v>65110</v>
      </c>
      <c r="E13">
        <f t="shared" si="0"/>
        <v>0</v>
      </c>
    </row>
    <row r="14" spans="1:7" x14ac:dyDescent="0.3">
      <c r="A14">
        <v>5250</v>
      </c>
      <c r="C14">
        <v>5250</v>
      </c>
      <c r="E14">
        <f t="shared" si="0"/>
        <v>5250</v>
      </c>
    </row>
    <row r="15" spans="1:7" x14ac:dyDescent="0.3">
      <c r="B15">
        <v>6210</v>
      </c>
      <c r="C15">
        <v>6210</v>
      </c>
      <c r="E15">
        <f t="shared" si="0"/>
        <v>-6210</v>
      </c>
    </row>
    <row r="16" spans="1:7" x14ac:dyDescent="0.3">
      <c r="B16">
        <v>5250</v>
      </c>
      <c r="C16">
        <v>5250</v>
      </c>
      <c r="E16">
        <f t="shared" si="0"/>
        <v>-5250</v>
      </c>
    </row>
    <row r="17" spans="1:5" x14ac:dyDescent="0.3">
      <c r="B17">
        <v>400</v>
      </c>
      <c r="C17">
        <v>400</v>
      </c>
      <c r="E17">
        <f t="shared" si="0"/>
        <v>-400</v>
      </c>
    </row>
    <row r="18" spans="1:5" x14ac:dyDescent="0.3">
      <c r="A18">
        <v>49600</v>
      </c>
      <c r="B18">
        <v>49600</v>
      </c>
      <c r="C18">
        <v>99200</v>
      </c>
      <c r="E18">
        <f t="shared" si="0"/>
        <v>0</v>
      </c>
    </row>
    <row r="19" spans="1:5" x14ac:dyDescent="0.3">
      <c r="A19">
        <v>6510</v>
      </c>
      <c r="B19">
        <v>6510</v>
      </c>
      <c r="C19">
        <v>13020</v>
      </c>
      <c r="E19">
        <f t="shared" si="0"/>
        <v>0</v>
      </c>
    </row>
    <row r="20" spans="1:5" x14ac:dyDescent="0.3">
      <c r="B20">
        <v>6020</v>
      </c>
      <c r="C20">
        <v>6020</v>
      </c>
      <c r="E20">
        <f t="shared" si="0"/>
        <v>-6020</v>
      </c>
    </row>
    <row r="21" spans="1:5" x14ac:dyDescent="0.3">
      <c r="A21">
        <v>31755</v>
      </c>
      <c r="B21">
        <v>31755</v>
      </c>
      <c r="C21">
        <v>63510</v>
      </c>
      <c r="E21">
        <f t="shared" si="0"/>
        <v>0</v>
      </c>
    </row>
    <row r="22" spans="1:5" x14ac:dyDescent="0.3">
      <c r="A22">
        <v>6020</v>
      </c>
      <c r="C22">
        <v>6020</v>
      </c>
      <c r="E22">
        <f t="shared" si="0"/>
        <v>6020</v>
      </c>
    </row>
    <row r="23" spans="1:5" x14ac:dyDescent="0.3">
      <c r="A23">
        <v>36018</v>
      </c>
      <c r="B23">
        <v>36018</v>
      </c>
      <c r="C23">
        <v>72036</v>
      </c>
      <c r="E23">
        <f t="shared" si="0"/>
        <v>0</v>
      </c>
    </row>
    <row r="24" spans="1:5" x14ac:dyDescent="0.3">
      <c r="A24">
        <v>20999</v>
      </c>
      <c r="B24">
        <v>20999</v>
      </c>
      <c r="C24">
        <v>41998</v>
      </c>
      <c r="E24">
        <f t="shared" si="0"/>
        <v>0</v>
      </c>
    </row>
    <row r="25" spans="1:5" x14ac:dyDescent="0.3">
      <c r="A25">
        <v>4490</v>
      </c>
      <c r="B25">
        <v>4490</v>
      </c>
      <c r="C25">
        <v>8980</v>
      </c>
      <c r="E25">
        <f t="shared" si="0"/>
        <v>0</v>
      </c>
    </row>
    <row r="26" spans="1:5" x14ac:dyDescent="0.3">
      <c r="A26">
        <v>47995</v>
      </c>
      <c r="B26">
        <v>47995</v>
      </c>
      <c r="C26">
        <v>95990</v>
      </c>
      <c r="E26">
        <f t="shared" si="0"/>
        <v>0</v>
      </c>
    </row>
    <row r="27" spans="1:5" x14ac:dyDescent="0.3">
      <c r="A27">
        <v>7250</v>
      </c>
      <c r="B27">
        <v>7250</v>
      </c>
      <c r="C27">
        <v>14500</v>
      </c>
      <c r="E27">
        <f t="shared" si="0"/>
        <v>0</v>
      </c>
    </row>
    <row r="28" spans="1:5" x14ac:dyDescent="0.3">
      <c r="A28">
        <v>70326</v>
      </c>
      <c r="B28">
        <v>70326</v>
      </c>
      <c r="C28">
        <v>140652</v>
      </c>
      <c r="E28">
        <f t="shared" si="0"/>
        <v>0</v>
      </c>
    </row>
    <row r="29" spans="1:5" x14ac:dyDescent="0.3">
      <c r="A29">
        <v>36633</v>
      </c>
      <c r="B29">
        <v>36633</v>
      </c>
      <c r="C29">
        <v>73266</v>
      </c>
      <c r="E29">
        <f t="shared" si="0"/>
        <v>0</v>
      </c>
    </row>
    <row r="30" spans="1:5" x14ac:dyDescent="0.3">
      <c r="A30">
        <v>88481</v>
      </c>
      <c r="B30">
        <v>88481</v>
      </c>
      <c r="C30">
        <v>176962</v>
      </c>
      <c r="E30">
        <f t="shared" si="0"/>
        <v>0</v>
      </c>
    </row>
    <row r="31" spans="1:5" x14ac:dyDescent="0.3">
      <c r="A31">
        <v>12400</v>
      </c>
      <c r="C31">
        <v>12400</v>
      </c>
      <c r="E31">
        <f t="shared" si="0"/>
        <v>12400</v>
      </c>
    </row>
    <row r="32" spans="1:5" x14ac:dyDescent="0.3">
      <c r="A32">
        <v>36050</v>
      </c>
      <c r="C32">
        <v>36050</v>
      </c>
      <c r="E32">
        <f t="shared" si="0"/>
        <v>36050</v>
      </c>
    </row>
    <row r="33" spans="1:5" x14ac:dyDescent="0.3">
      <c r="A33">
        <v>6720</v>
      </c>
      <c r="C33">
        <v>6720</v>
      </c>
      <c r="E33">
        <f t="shared" si="0"/>
        <v>6720</v>
      </c>
    </row>
    <row r="34" spans="1:5" x14ac:dyDescent="0.3">
      <c r="A34">
        <v>4720</v>
      </c>
      <c r="B34">
        <v>4720</v>
      </c>
      <c r="C34">
        <v>9440</v>
      </c>
      <c r="E34">
        <f t="shared" si="0"/>
        <v>0</v>
      </c>
    </row>
    <row r="35" spans="1:5" x14ac:dyDescent="0.3">
      <c r="A35">
        <v>390950.60000000003</v>
      </c>
      <c r="B35">
        <v>147937</v>
      </c>
      <c r="C35">
        <v>538887.60000000009</v>
      </c>
      <c r="E35">
        <f t="shared" si="0"/>
        <v>243013.60000000003</v>
      </c>
    </row>
    <row r="36" spans="1:5" x14ac:dyDescent="0.3">
      <c r="A36">
        <v>3999</v>
      </c>
      <c r="C36">
        <v>3999</v>
      </c>
      <c r="E36">
        <f t="shared" si="0"/>
        <v>3999</v>
      </c>
    </row>
    <row r="37" spans="1:5" x14ac:dyDescent="0.3">
      <c r="A37">
        <v>7998</v>
      </c>
      <c r="C37">
        <v>7998</v>
      </c>
      <c r="E37">
        <f t="shared" si="0"/>
        <v>7998</v>
      </c>
    </row>
    <row r="38" spans="1:5" x14ac:dyDescent="0.3">
      <c r="A38">
        <v>11996</v>
      </c>
      <c r="C38">
        <v>11996</v>
      </c>
      <c r="E38">
        <f t="shared" si="0"/>
        <v>11996</v>
      </c>
    </row>
    <row r="39" spans="1:5" x14ac:dyDescent="0.3">
      <c r="A39">
        <v>132806</v>
      </c>
      <c r="C39">
        <v>132806</v>
      </c>
      <c r="E39">
        <f t="shared" si="0"/>
        <v>132806</v>
      </c>
    </row>
    <row r="40" spans="1:5" x14ac:dyDescent="0.3">
      <c r="B40">
        <v>43860</v>
      </c>
      <c r="C40">
        <v>43860</v>
      </c>
      <c r="E40">
        <f t="shared" si="0"/>
        <v>-43860</v>
      </c>
    </row>
    <row r="41" spans="1:5" x14ac:dyDescent="0.3">
      <c r="A41">
        <v>43860</v>
      </c>
      <c r="C41">
        <v>43860</v>
      </c>
      <c r="E41">
        <f t="shared" si="0"/>
        <v>43860</v>
      </c>
    </row>
    <row r="42" spans="1:5" x14ac:dyDescent="0.3">
      <c r="A42">
        <v>81200</v>
      </c>
      <c r="C42">
        <v>81200</v>
      </c>
      <c r="E42">
        <f t="shared" si="0"/>
        <v>81200</v>
      </c>
    </row>
    <row r="43" spans="1:5" x14ac:dyDescent="0.3">
      <c r="A43">
        <v>70247</v>
      </c>
      <c r="C43">
        <v>70247</v>
      </c>
      <c r="E43">
        <f t="shared" si="0"/>
        <v>70247</v>
      </c>
    </row>
    <row r="44" spans="1:5" x14ac:dyDescent="0.3">
      <c r="A44">
        <v>46500</v>
      </c>
      <c r="C44">
        <v>46500</v>
      </c>
      <c r="E44">
        <f t="shared" si="0"/>
        <v>46500</v>
      </c>
    </row>
    <row r="45" spans="1:5" x14ac:dyDescent="0.3">
      <c r="B45">
        <v>132806</v>
      </c>
      <c r="C45">
        <v>132806</v>
      </c>
      <c r="E45">
        <f t="shared" si="0"/>
        <v>-132806</v>
      </c>
    </row>
    <row r="46" spans="1:5" x14ac:dyDescent="0.3">
      <c r="A46">
        <v>7349</v>
      </c>
      <c r="B46">
        <v>7349</v>
      </c>
      <c r="C46">
        <v>14698</v>
      </c>
      <c r="E46">
        <f t="shared" si="0"/>
        <v>0</v>
      </c>
    </row>
    <row r="47" spans="1:5" x14ac:dyDescent="0.3">
      <c r="A47">
        <v>6099</v>
      </c>
      <c r="B47">
        <v>6099</v>
      </c>
      <c r="C47">
        <v>12198</v>
      </c>
      <c r="E47">
        <f t="shared" si="0"/>
        <v>0</v>
      </c>
    </row>
    <row r="48" spans="1:5" x14ac:dyDescent="0.3">
      <c r="A48">
        <v>16000</v>
      </c>
      <c r="B48">
        <v>16000</v>
      </c>
      <c r="C48">
        <v>32000</v>
      </c>
      <c r="E48">
        <f t="shared" si="0"/>
        <v>0</v>
      </c>
    </row>
    <row r="49" spans="1:5" x14ac:dyDescent="0.3">
      <c r="A49">
        <v>22113</v>
      </c>
      <c r="B49">
        <v>22113</v>
      </c>
      <c r="C49">
        <v>44226</v>
      </c>
      <c r="E49">
        <f t="shared" si="0"/>
        <v>0</v>
      </c>
    </row>
    <row r="50" spans="1:5" x14ac:dyDescent="0.3">
      <c r="A50">
        <v>49200</v>
      </c>
      <c r="B50">
        <v>49200</v>
      </c>
      <c r="C50">
        <v>98400</v>
      </c>
      <c r="E50">
        <f t="shared" si="0"/>
        <v>0</v>
      </c>
    </row>
    <row r="51" spans="1:5" x14ac:dyDescent="0.3">
      <c r="A51">
        <v>49600</v>
      </c>
      <c r="B51">
        <v>49600</v>
      </c>
      <c r="C51">
        <v>99200</v>
      </c>
      <c r="E51">
        <f t="shared" si="0"/>
        <v>0</v>
      </c>
    </row>
    <row r="52" spans="1:5" x14ac:dyDescent="0.3">
      <c r="A52">
        <v>48600</v>
      </c>
      <c r="B52">
        <v>48600</v>
      </c>
      <c r="C52">
        <v>97200</v>
      </c>
      <c r="E52">
        <f t="shared" si="0"/>
        <v>0</v>
      </c>
    </row>
    <row r="53" spans="1:5" x14ac:dyDescent="0.3">
      <c r="A53">
        <v>49200</v>
      </c>
      <c r="B53">
        <v>49200</v>
      </c>
      <c r="C53">
        <v>98400</v>
      </c>
      <c r="E53">
        <f t="shared" si="0"/>
        <v>0</v>
      </c>
    </row>
    <row r="54" spans="1:5" x14ac:dyDescent="0.3">
      <c r="A54">
        <v>49540</v>
      </c>
      <c r="B54">
        <v>49540</v>
      </c>
      <c r="C54">
        <v>99080</v>
      </c>
      <c r="E54">
        <f t="shared" si="0"/>
        <v>0</v>
      </c>
    </row>
    <row r="55" spans="1:5" x14ac:dyDescent="0.3">
      <c r="A55">
        <v>49500</v>
      </c>
      <c r="B55">
        <v>49500</v>
      </c>
      <c r="C55">
        <v>99000</v>
      </c>
      <c r="E55">
        <f t="shared" si="0"/>
        <v>0</v>
      </c>
    </row>
    <row r="56" spans="1:5" x14ac:dyDescent="0.3">
      <c r="A56">
        <v>48600</v>
      </c>
      <c r="C56">
        <v>48600</v>
      </c>
      <c r="E56">
        <f t="shared" si="0"/>
        <v>48600</v>
      </c>
    </row>
    <row r="57" spans="1:5" x14ac:dyDescent="0.3">
      <c r="B57">
        <v>48600</v>
      </c>
      <c r="C57">
        <v>48600</v>
      </c>
      <c r="E57">
        <f t="shared" si="0"/>
        <v>-48600</v>
      </c>
    </row>
    <row r="58" spans="1:5" x14ac:dyDescent="0.3">
      <c r="B58">
        <v>1010</v>
      </c>
      <c r="C58">
        <v>1010</v>
      </c>
      <c r="E58">
        <f t="shared" si="0"/>
        <v>-1010</v>
      </c>
    </row>
    <row r="59" spans="1:5" x14ac:dyDescent="0.3">
      <c r="A59">
        <v>9750</v>
      </c>
      <c r="B59">
        <v>9750</v>
      </c>
      <c r="C59">
        <v>19500</v>
      </c>
      <c r="E59">
        <f t="shared" si="0"/>
        <v>0</v>
      </c>
    </row>
    <row r="60" spans="1:5" x14ac:dyDescent="0.3">
      <c r="A60">
        <v>4439</v>
      </c>
      <c r="B60">
        <v>4439</v>
      </c>
      <c r="C60">
        <v>8878</v>
      </c>
      <c r="E60">
        <f t="shared" si="0"/>
        <v>0</v>
      </c>
    </row>
    <row r="61" spans="1:5" x14ac:dyDescent="0.3">
      <c r="A61">
        <v>44632</v>
      </c>
      <c r="B61">
        <v>44632</v>
      </c>
      <c r="C61">
        <v>89264</v>
      </c>
      <c r="E61">
        <f t="shared" si="0"/>
        <v>0</v>
      </c>
    </row>
    <row r="62" spans="1:5" x14ac:dyDescent="0.3">
      <c r="A62">
        <v>36299</v>
      </c>
      <c r="B62">
        <v>36299</v>
      </c>
      <c r="C62">
        <v>72598</v>
      </c>
      <c r="E62">
        <f t="shared" si="0"/>
        <v>0</v>
      </c>
    </row>
    <row r="63" spans="1:5" x14ac:dyDescent="0.3">
      <c r="A63">
        <v>27056</v>
      </c>
      <c r="B63">
        <v>27056</v>
      </c>
      <c r="C63">
        <v>54112</v>
      </c>
      <c r="E63">
        <f t="shared" si="0"/>
        <v>0</v>
      </c>
    </row>
    <row r="64" spans="1:5" x14ac:dyDescent="0.3">
      <c r="A64">
        <v>8280.02</v>
      </c>
      <c r="B64">
        <v>8280</v>
      </c>
      <c r="C64">
        <v>16560.02</v>
      </c>
      <c r="E64">
        <f t="shared" si="0"/>
        <v>2.0000000000436557E-2</v>
      </c>
    </row>
    <row r="65" spans="1:5" x14ac:dyDescent="0.3">
      <c r="A65">
        <v>14308</v>
      </c>
      <c r="C65">
        <v>14308</v>
      </c>
      <c r="E65">
        <f t="shared" si="0"/>
        <v>14308</v>
      </c>
    </row>
    <row r="66" spans="1:5" x14ac:dyDescent="0.3">
      <c r="B66">
        <v>14308</v>
      </c>
      <c r="C66">
        <v>14308</v>
      </c>
      <c r="E66">
        <f t="shared" ref="E66:E70" si="2">A66-B66</f>
        <v>-14308</v>
      </c>
    </row>
    <row r="67" spans="1:5" x14ac:dyDescent="0.3">
      <c r="A67">
        <v>5942</v>
      </c>
      <c r="B67">
        <v>5942</v>
      </c>
      <c r="C67">
        <v>11884</v>
      </c>
      <c r="E67">
        <f t="shared" si="2"/>
        <v>0</v>
      </c>
    </row>
    <row r="68" spans="1:5" x14ac:dyDescent="0.3">
      <c r="A68">
        <v>5880</v>
      </c>
      <c r="B68">
        <v>5880</v>
      </c>
      <c r="C68">
        <v>11760</v>
      </c>
      <c r="E68">
        <f t="shared" si="2"/>
        <v>0</v>
      </c>
    </row>
    <row r="69" spans="1:5" x14ac:dyDescent="0.3">
      <c r="A69">
        <v>48207</v>
      </c>
      <c r="B69">
        <v>48207</v>
      </c>
      <c r="C69">
        <v>96414</v>
      </c>
      <c r="E69">
        <f t="shared" si="2"/>
        <v>0</v>
      </c>
    </row>
    <row r="70" spans="1:5" x14ac:dyDescent="0.3">
      <c r="B70">
        <v>58784</v>
      </c>
      <c r="C70">
        <v>58784</v>
      </c>
      <c r="E70">
        <f t="shared" si="2"/>
        <v>-58784</v>
      </c>
    </row>
    <row r="71" spans="1:5" x14ac:dyDescent="0.3">
      <c r="A71" s="14">
        <v>2282872.12</v>
      </c>
      <c r="B71" s="14">
        <v>1754968.74</v>
      </c>
      <c r="C71" s="14">
        <v>4037840.86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Detail1</vt:lpstr>
      <vt:lpstr>Sheet2</vt:lpstr>
      <vt:lpstr>Sheet5</vt:lpstr>
      <vt:lpstr>gST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singh</dc:creator>
  <cp:lastModifiedBy>Naveen singh</cp:lastModifiedBy>
  <dcterms:created xsi:type="dcterms:W3CDTF">2026-03-13T04:31:21Z</dcterms:created>
  <dcterms:modified xsi:type="dcterms:W3CDTF">2026-03-16T07:19:38Z</dcterms:modified>
</cp:coreProperties>
</file>